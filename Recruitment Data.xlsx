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f6b95357dae87c/Desktop/Analyst Project/Data Analysis with Excel/HR Dashboard and Power Query/"/>
    </mc:Choice>
  </mc:AlternateContent>
  <xr:revisionPtr revIDLastSave="184" documentId="8_{73D0D788-0279-4DF2-9759-42FCDAF2CF3F}" xr6:coauthVersionLast="47" xr6:coauthVersionMax="47" xr10:uidLastSave="{3CA174FF-44C4-450C-B544-CA123FEDA34F}"/>
  <bookViews>
    <workbookView xWindow="-108" yWindow="-108" windowWidth="23256" windowHeight="12456" firstSheet="1" activeTab="1" xr2:uid="{F8A68490-BF5E-4067-9452-004FA31B93DB}"/>
  </bookViews>
  <sheets>
    <sheet name="DATA" sheetId="1" r:id="rId1"/>
    <sheet name="Total Cost" sheetId="4" r:id="rId2"/>
    <sheet name="Rejection Rate" sheetId="5" r:id="rId3"/>
    <sheet name="Overall" sheetId="7" r:id="rId4"/>
    <sheet name="DATA (2)" sheetId="3" r:id="rId5"/>
    <sheet name="DASHBOARD" sheetId="2" r:id="rId6"/>
  </sheets>
  <definedNames>
    <definedName name="_xlcn.WorksheetConnection_RecruitmentDataCopy.xlsxTableData1" hidden="1">TableData[]</definedName>
  </definedNames>
  <calcPr calcId="191029"/>
  <pivotCaches>
    <pivotCache cacheId="63" r:id="rId7"/>
    <pivotCache cacheId="64" r:id="rId8"/>
    <pivotCache cacheId="73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Data" name="TableData" connection="WorksheetConnection_Recruitment Data - Copy.xlsx!Table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7" i="2" l="1"/>
  <c r="Q7" i="2"/>
  <c r="C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68E7E6-2E4F-4995-85D4-1999F78E2CA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933139E-A948-42FA-AFCD-AE7D4E2BEF9A}" name="WorksheetConnection_Recruitment Data - Copy.xlsx!TableData" type="102" refreshedVersion="8" minRefreshableVersion="5">
    <extLst>
      <ext xmlns:x15="http://schemas.microsoft.com/office/spreadsheetml/2010/11/main" uri="{DE250136-89BD-433C-8126-D09CA5730AF9}">
        <x15:connection id="TableData" autoDelete="1">
          <x15:rangePr sourceName="_xlcn.WorksheetConnection_RecruitmentDataCopy.xlsxTableData1"/>
        </x15:connection>
      </ext>
    </extLst>
  </connection>
</connections>
</file>

<file path=xl/sharedStrings.xml><?xml version="1.0" encoding="utf-8"?>
<sst xmlns="http://schemas.openxmlformats.org/spreadsheetml/2006/main" count="847" uniqueCount="65">
  <si>
    <t>Recruitment ID</t>
  </si>
  <si>
    <t>Department</t>
  </si>
  <si>
    <t>JR Date</t>
  </si>
  <si>
    <t>Applicant ID</t>
  </si>
  <si>
    <t>Source of Hire</t>
  </si>
  <si>
    <t>Application Date</t>
  </si>
  <si>
    <t>Decision Date</t>
  </si>
  <si>
    <t>Decision</t>
  </si>
  <si>
    <t>Cost ($)</t>
  </si>
  <si>
    <t>REC001-1</t>
  </si>
  <si>
    <t>HR</t>
  </si>
  <si>
    <t>Company Website</t>
  </si>
  <si>
    <t>Hired</t>
  </si>
  <si>
    <t>Job Board</t>
  </si>
  <si>
    <t>Rejected</t>
  </si>
  <si>
    <t>REC001-2</t>
  </si>
  <si>
    <t>Referral</t>
  </si>
  <si>
    <t>REC001-3</t>
  </si>
  <si>
    <t>REC002-1</t>
  </si>
  <si>
    <t>Marketing</t>
  </si>
  <si>
    <t>Agency</t>
  </si>
  <si>
    <t>REC003-1</t>
  </si>
  <si>
    <t>Sales</t>
  </si>
  <si>
    <t>REC003-2</t>
  </si>
  <si>
    <t>REC003-3</t>
  </si>
  <si>
    <t>REC003-4</t>
  </si>
  <si>
    <t>REC004-1</t>
  </si>
  <si>
    <t>IT</t>
  </si>
  <si>
    <t>REC005-1</t>
  </si>
  <si>
    <t>REC005-2</t>
  </si>
  <si>
    <t>REC006-1</t>
  </si>
  <si>
    <t>Manufacturing</t>
  </si>
  <si>
    <t>REC006-2</t>
  </si>
  <si>
    <t>REC006-3</t>
  </si>
  <si>
    <t>REC006-4</t>
  </si>
  <si>
    <t>REC007-1</t>
  </si>
  <si>
    <t>REC008-1</t>
  </si>
  <si>
    <t>REC008-2</t>
  </si>
  <si>
    <t>REC008-3</t>
  </si>
  <si>
    <t>REC008-4</t>
  </si>
  <si>
    <t>REC010-1</t>
  </si>
  <si>
    <t>REC010-2</t>
  </si>
  <si>
    <t>REC010-3</t>
  </si>
  <si>
    <t>REC011-1</t>
  </si>
  <si>
    <t>REC011-2</t>
  </si>
  <si>
    <t>REC011-3</t>
  </si>
  <si>
    <t>REC011-4</t>
  </si>
  <si>
    <t>REC011-5</t>
  </si>
  <si>
    <t>REC011-6</t>
  </si>
  <si>
    <t>REC011-7</t>
  </si>
  <si>
    <t>REC011-8</t>
  </si>
  <si>
    <t>REC012-1</t>
  </si>
  <si>
    <t>REC012-2</t>
  </si>
  <si>
    <t>Safety</t>
  </si>
  <si>
    <t>Sum of Cost ($)</t>
  </si>
  <si>
    <t>Row Labels</t>
  </si>
  <si>
    <t>Grand Total</t>
  </si>
  <si>
    <t>Column Labels</t>
  </si>
  <si>
    <t>Count of Cost ($)</t>
  </si>
  <si>
    <t>Sum of Applicant ID</t>
  </si>
  <si>
    <t>Distinct Count of Recruitment ID</t>
  </si>
  <si>
    <t>Total JR</t>
  </si>
  <si>
    <t>Application</t>
  </si>
  <si>
    <t>Cost</t>
  </si>
  <si>
    <t>Human Resource Recruitment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</si>
</sst>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4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0" fontId="0" fillId="0" borderId="0" xfId="0" applyNumberForma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</cellXfs>
  <cellStyles count="1">
    <cellStyle name="Normal" xfId="0" builtinId="0"/>
  </cellStyles>
  <dxfs count="4">
    <dxf>
      <numFmt numFmtId="19" formatCode="m/d/yyyy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 Data - Copy.xlsx]Total Cost!PivotTable1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Recruitment Cost By 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Cost'!$B$3:$B$4</c:f>
              <c:strCache>
                <c:ptCount val="1"/>
                <c:pt idx="0">
                  <c:v>Hired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Cost'!$A$5:$A$9</c:f>
              <c:strCache>
                <c:ptCount val="4"/>
                <c:pt idx="0">
                  <c:v>Agency</c:v>
                </c:pt>
                <c:pt idx="1">
                  <c:v>Company Website</c:v>
                </c:pt>
                <c:pt idx="2">
                  <c:v>Job Board</c:v>
                </c:pt>
                <c:pt idx="3">
                  <c:v>Referral</c:v>
                </c:pt>
              </c:strCache>
            </c:strRef>
          </c:cat>
          <c:val>
            <c:numRef>
              <c:f>'Total Cost'!$B$5:$B$9</c:f>
              <c:numCache>
                <c:formatCode>#,##0</c:formatCode>
                <c:ptCount val="4"/>
                <c:pt idx="0">
                  <c:v>34700</c:v>
                </c:pt>
                <c:pt idx="1">
                  <c:v>1000</c:v>
                </c:pt>
                <c:pt idx="2">
                  <c:v>8800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6C-4229-A908-C8A6AE89887E}"/>
            </c:ext>
          </c:extLst>
        </c:ser>
        <c:ser>
          <c:idx val="1"/>
          <c:order val="1"/>
          <c:tx>
            <c:strRef>
              <c:f>'Total Cost'!$C$3:$C$4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Cost'!$A$5:$A$9</c:f>
              <c:strCache>
                <c:ptCount val="4"/>
                <c:pt idx="0">
                  <c:v>Agency</c:v>
                </c:pt>
                <c:pt idx="1">
                  <c:v>Company Website</c:v>
                </c:pt>
                <c:pt idx="2">
                  <c:v>Job Board</c:v>
                </c:pt>
                <c:pt idx="3">
                  <c:v>Referral</c:v>
                </c:pt>
              </c:strCache>
            </c:strRef>
          </c:cat>
          <c:val>
            <c:numRef>
              <c:f>'Total Cost'!$C$5:$C$9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9750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6C-4229-A908-C8A6AE8988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5450127"/>
        <c:axId val="455441967"/>
      </c:barChart>
      <c:catAx>
        <c:axId val="45545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41967"/>
        <c:crosses val="autoZero"/>
        <c:auto val="1"/>
        <c:lblAlgn val="ctr"/>
        <c:lblOffset val="100"/>
        <c:noMultiLvlLbl val="0"/>
      </c:catAx>
      <c:valAx>
        <c:axId val="45544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5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 Data - Copy.xlsx]Rejection Rate!PivotTable1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Success</a:t>
            </a:r>
            <a:r>
              <a:rPr lang="en-MY" baseline="0"/>
              <a:t> Hiring Rate by Sources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'Rejection Rate'!$B$3:$B$4</c:f>
              <c:strCache>
                <c:ptCount val="1"/>
                <c:pt idx="0">
                  <c:v>Hired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'Rejection Rate'!$A$5:$A$9</c:f>
              <c:strCache>
                <c:ptCount val="4"/>
                <c:pt idx="0">
                  <c:v>Agency</c:v>
                </c:pt>
                <c:pt idx="1">
                  <c:v>Company Website</c:v>
                </c:pt>
                <c:pt idx="2">
                  <c:v>Job Board</c:v>
                </c:pt>
                <c:pt idx="3">
                  <c:v>Referral</c:v>
                </c:pt>
              </c:strCache>
            </c:strRef>
          </c:cat>
          <c:val>
            <c:numRef>
              <c:f>'Rejection Rate'!$B$5:$B$9</c:f>
              <c:numCache>
                <c:formatCode>0.00%</c:formatCode>
                <c:ptCount val="4"/>
                <c:pt idx="0">
                  <c:v>0.3</c:v>
                </c:pt>
                <c:pt idx="1">
                  <c:v>0.125</c:v>
                </c:pt>
                <c:pt idx="2">
                  <c:v>0.15217391304347827</c:v>
                </c:pt>
                <c:pt idx="3">
                  <c:v>0.30769230769230771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D-4AC6-98C5-C15E3394E91A}"/>
            </c:ext>
          </c:extLst>
        </c:ser>
        <c:ser>
          <c:idx val="1"/>
          <c:order val="1"/>
          <c:tx>
            <c:strRef>
              <c:f>'Rejection Rate'!$C$3:$C$4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'Rejection Rate'!$A$5:$A$9</c:f>
              <c:strCache>
                <c:ptCount val="4"/>
                <c:pt idx="0">
                  <c:v>Agency</c:v>
                </c:pt>
                <c:pt idx="1">
                  <c:v>Company Website</c:v>
                </c:pt>
                <c:pt idx="2">
                  <c:v>Job Board</c:v>
                </c:pt>
                <c:pt idx="3">
                  <c:v>Referral</c:v>
                </c:pt>
              </c:strCache>
            </c:strRef>
          </c:cat>
          <c:val>
            <c:numRef>
              <c:f>'Rejection Rate'!$C$5:$C$9</c:f>
              <c:numCache>
                <c:formatCode>0.00%</c:formatCode>
                <c:ptCount val="4"/>
                <c:pt idx="0">
                  <c:v>0.7</c:v>
                </c:pt>
                <c:pt idx="1">
                  <c:v>0.875</c:v>
                </c:pt>
                <c:pt idx="2">
                  <c:v>0.84782608695652173</c:v>
                </c:pt>
                <c:pt idx="3">
                  <c:v>0.69230769230769229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5D-4AC6-98C5-C15E3394E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55450127"/>
        <c:axId val="455441967"/>
      </c:barChart>
      <c:catAx>
        <c:axId val="455450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41967"/>
        <c:crosses val="autoZero"/>
        <c:auto val="1"/>
        <c:lblAlgn val="ctr"/>
        <c:lblOffset val="100"/>
        <c:noMultiLvlLbl val="0"/>
      </c:catAx>
      <c:valAx>
        <c:axId val="45544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5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 Data - Copy.xlsx]Total Cost!PivotTable1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Recruitment Cost By 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Cost'!$B$3:$B$4</c:f>
              <c:strCache>
                <c:ptCount val="1"/>
                <c:pt idx="0">
                  <c:v>Hired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Cost'!$A$5:$A$9</c:f>
              <c:strCache>
                <c:ptCount val="4"/>
                <c:pt idx="0">
                  <c:v>Agency</c:v>
                </c:pt>
                <c:pt idx="1">
                  <c:v>Company Website</c:v>
                </c:pt>
                <c:pt idx="2">
                  <c:v>Job Board</c:v>
                </c:pt>
                <c:pt idx="3">
                  <c:v>Referral</c:v>
                </c:pt>
              </c:strCache>
            </c:strRef>
          </c:cat>
          <c:val>
            <c:numRef>
              <c:f>'Total Cost'!$B$5:$B$9</c:f>
              <c:numCache>
                <c:formatCode>#,##0</c:formatCode>
                <c:ptCount val="4"/>
                <c:pt idx="0">
                  <c:v>34700</c:v>
                </c:pt>
                <c:pt idx="1">
                  <c:v>1000</c:v>
                </c:pt>
                <c:pt idx="2">
                  <c:v>8800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E-4162-8D8C-516A0856D46A}"/>
            </c:ext>
          </c:extLst>
        </c:ser>
        <c:ser>
          <c:idx val="1"/>
          <c:order val="1"/>
          <c:tx>
            <c:strRef>
              <c:f>'Total Cost'!$C$3:$C$4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'Total Cost'!$A$5:$A$9</c:f>
              <c:strCache>
                <c:ptCount val="4"/>
                <c:pt idx="0">
                  <c:v>Agency</c:v>
                </c:pt>
                <c:pt idx="1">
                  <c:v>Company Website</c:v>
                </c:pt>
                <c:pt idx="2">
                  <c:v>Job Board</c:v>
                </c:pt>
                <c:pt idx="3">
                  <c:v>Referral</c:v>
                </c:pt>
              </c:strCache>
            </c:strRef>
          </c:cat>
          <c:val>
            <c:numRef>
              <c:f>'Total Cost'!$C$5:$C$9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9750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BE-4162-8D8C-516A0856D4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55450127"/>
        <c:axId val="455441967"/>
      </c:barChart>
      <c:catAx>
        <c:axId val="45545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41967"/>
        <c:crosses val="autoZero"/>
        <c:auto val="1"/>
        <c:lblAlgn val="ctr"/>
        <c:lblOffset val="100"/>
        <c:noMultiLvlLbl val="0"/>
      </c:catAx>
      <c:valAx>
        <c:axId val="45544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5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[Recruitment Data - Copy.xlsx]Rejection Rate!PivotTable1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Success</a:t>
            </a:r>
            <a:r>
              <a:rPr lang="en-MY" baseline="0"/>
              <a:t> Hiring Rate by Sources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Y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'Rejection Rate'!$B$3:$B$4</c:f>
              <c:strCache>
                <c:ptCount val="1"/>
                <c:pt idx="0">
                  <c:v>Hired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'Rejection Rate'!$A$5:$A$9</c:f>
              <c:strCache>
                <c:ptCount val="4"/>
                <c:pt idx="0">
                  <c:v>Agency</c:v>
                </c:pt>
                <c:pt idx="1">
                  <c:v>Company Website</c:v>
                </c:pt>
                <c:pt idx="2">
                  <c:v>Job Board</c:v>
                </c:pt>
                <c:pt idx="3">
                  <c:v>Referral</c:v>
                </c:pt>
              </c:strCache>
            </c:strRef>
          </c:cat>
          <c:val>
            <c:numRef>
              <c:f>'Rejection Rate'!$B$5:$B$9</c:f>
              <c:numCache>
                <c:formatCode>0.00%</c:formatCode>
                <c:ptCount val="4"/>
                <c:pt idx="0">
                  <c:v>0.3</c:v>
                </c:pt>
                <c:pt idx="1">
                  <c:v>0.125</c:v>
                </c:pt>
                <c:pt idx="2">
                  <c:v>0.15217391304347827</c:v>
                </c:pt>
                <c:pt idx="3">
                  <c:v>0.30769230769230771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9-428E-80D7-2B1A453D0D3E}"/>
            </c:ext>
          </c:extLst>
        </c:ser>
        <c:ser>
          <c:idx val="1"/>
          <c:order val="1"/>
          <c:tx>
            <c:strRef>
              <c:f>'Rejection Rate'!$C$3:$C$4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'Rejection Rate'!$A$5:$A$9</c:f>
              <c:strCache>
                <c:ptCount val="4"/>
                <c:pt idx="0">
                  <c:v>Agency</c:v>
                </c:pt>
                <c:pt idx="1">
                  <c:v>Company Website</c:v>
                </c:pt>
                <c:pt idx="2">
                  <c:v>Job Board</c:v>
                </c:pt>
                <c:pt idx="3">
                  <c:v>Referral</c:v>
                </c:pt>
              </c:strCache>
            </c:strRef>
          </c:cat>
          <c:val>
            <c:numRef>
              <c:f>'Rejection Rate'!$C$5:$C$9</c:f>
              <c:numCache>
                <c:formatCode>0.00%</c:formatCode>
                <c:ptCount val="4"/>
                <c:pt idx="0">
                  <c:v>0.7</c:v>
                </c:pt>
                <c:pt idx="1">
                  <c:v>0.875</c:v>
                </c:pt>
                <c:pt idx="2">
                  <c:v>0.84782608695652173</c:v>
                </c:pt>
                <c:pt idx="3">
                  <c:v>0.69230769230769229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E9-428E-80D7-2B1A453D0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55450127"/>
        <c:axId val="455441967"/>
      </c:barChart>
      <c:catAx>
        <c:axId val="4554501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41967"/>
        <c:crosses val="autoZero"/>
        <c:auto val="1"/>
        <c:lblAlgn val="ctr"/>
        <c:lblOffset val="100"/>
        <c:noMultiLvlLbl val="0"/>
      </c:catAx>
      <c:valAx>
        <c:axId val="45544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5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106686</xdr:colOff>
      <xdr:row>1</xdr:row>
      <xdr:rowOff>194310</xdr:rowOff>
    </xdr:from>
    <xdr:to>
      <xdr:col>10</xdr:col>
      <xdr:colOff>655326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02A21-14F0-0BAF-31C8-AFC4C634E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106686</xdr:colOff>
      <xdr:row>1</xdr:row>
      <xdr:rowOff>194310</xdr:rowOff>
    </xdr:from>
    <xdr:to>
      <xdr:col>10</xdr:col>
      <xdr:colOff>655326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1C9EC6-B886-4F39-AA95-BC80BB8836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7620</xdr:rowOff>
    </xdr:from>
    <xdr:to>
      <xdr:col>22</xdr:col>
      <xdr:colOff>220980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C4775E-4991-4909-AC19-5A4D4CE04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15240</xdr:colOff>
      <xdr:row>9</xdr:row>
      <xdr:rowOff>7620</xdr:rowOff>
    </xdr:from>
    <xdr:to>
      <xdr:col>43</xdr:col>
      <xdr:colOff>15240</xdr:colOff>
      <xdr:row>22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20EF07-C1A2-4A0A-9D9A-D625E872A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42.631073842589" backgroundQuery="1" createdVersion="8" refreshedVersion="8" minRefreshableVersion="3" recordCount="0" supportSubquery="1" supportAdvancedDrill="1" xr:uid="{BB537DAA-C22A-44A5-8D6D-75F0378A6C9D}">
  <cacheSource type="external" connectionId="1"/>
  <cacheFields count="3">
    <cacheField name="[Measures].[Sum of Cost ($)]" caption="Sum of Cost ($)" numFmtId="0" hierarchy="11" level="32767"/>
    <cacheField name="[TableData].[Decision].[Decision]" caption="Decision" numFmtId="0" hierarchy="7" level="1">
      <sharedItems count="2">
        <s v="Hired"/>
        <s v="Rejected"/>
      </sharedItems>
    </cacheField>
    <cacheField name="[TableData].[Source of Hire].[Source of Hire]" caption="Source of Hire" numFmtId="0" hierarchy="4" level="1">
      <sharedItems count="4">
        <s v="Agency"/>
        <s v="Company Website"/>
        <s v="Job Board"/>
        <s v="Referral"/>
      </sharedItems>
    </cacheField>
  </cacheFields>
  <cacheHierarchies count="17">
    <cacheHierarchy uniqueName="[TableData].[Recruitment ID]" caption="Recruitment ID" attribute="1" defaultMemberUniqueName="[TableData].[Recruitment ID].[All]" allUniqueName="[TableData].[Recruitment ID].[All]" dimensionUniqueName="[TableData]" displayFolder="" count="0" memberValueDatatype="130" unbalanced="0"/>
    <cacheHierarchy uniqueName="[TableData].[Department]" caption="Department" attribute="1" defaultMemberUniqueName="[TableData].[Department].[All]" allUniqueName="[TableData].[Department].[All]" dimensionUniqueName="[TableData]" displayFolder="" count="0" memberValueDatatype="130" unbalanced="0"/>
    <cacheHierarchy uniqueName="[TableData].[JR Date]" caption="JR Date" attribute="1" time="1" defaultMemberUniqueName="[TableData].[JR Date].[All]" allUniqueName="[TableData].[JR Date].[All]" dimensionUniqueName="[TableData]" displayFolder="" count="0" memberValueDatatype="7" unbalanced="0"/>
    <cacheHierarchy uniqueName="[TableData].[Applicant ID]" caption="Applicant ID" attribute="1" defaultMemberUniqueName="[TableData].[Applicant ID].[All]" allUniqueName="[TableData].[Applicant ID].[All]" dimensionUniqueName="[TableData]" displayFolder="" count="0" memberValueDatatype="20" unbalanced="0"/>
    <cacheHierarchy uniqueName="[TableData].[Source of Hire]" caption="Source of Hire" attribute="1" defaultMemberUniqueName="[TableData].[Source of Hire].[All]" allUniqueName="[TableData].[Source of Hire].[All]" dimensionUniqueName="[TableData]" displayFolder="" count="2" memberValueDatatype="130" unbalanced="0">
      <fieldsUsage count="2">
        <fieldUsage x="-1"/>
        <fieldUsage x="2"/>
      </fieldsUsage>
    </cacheHierarchy>
    <cacheHierarchy uniqueName="[TableData].[Application Date]" caption="Application Date" attribute="1" time="1" defaultMemberUniqueName="[TableData].[Application Date].[All]" allUniqueName="[TableData].[Application Date].[All]" dimensionUniqueName="[TableData]" displayFolder="" count="0" memberValueDatatype="7" unbalanced="0"/>
    <cacheHierarchy uniqueName="[TableData].[Decision Date]" caption="Decision Date" attribute="1" time="1" defaultMemberUniqueName="[TableData].[Decision Date].[All]" allUniqueName="[TableData].[Decision Date].[All]" dimensionUniqueName="[TableData]" displayFolder="" count="0" memberValueDatatype="7" unbalanced="0"/>
    <cacheHierarchy uniqueName="[TableData].[Decision]" caption="Decision" attribute="1" defaultMemberUniqueName="[TableData].[Decision].[All]" allUniqueName="[TableData].[Decision].[All]" dimensionUniqueName="[TableData]" displayFolder="" count="2" memberValueDatatype="130" unbalanced="0">
      <fieldsUsage count="2">
        <fieldUsage x="-1"/>
        <fieldUsage x="1"/>
      </fieldsUsage>
    </cacheHierarchy>
    <cacheHierarchy uniqueName="[TableData].[Cost ($)]" caption="Cost ($)" attribute="1" defaultMemberUniqueName="[TableData].[Cost ($)].[All]" allUniqueName="[TableData].[Cost ($)].[All]" dimensionUniqueName="[TableData]" displayFolder="" count="0" memberValueDatatype="20" unbalanced="0"/>
    <cacheHierarchy uniqueName="[Measures].[__XL_Count TableData]" caption="__XL_Count TableData" measure="1" displayFolder="" measureGroup="TableData" count="0" hidden="1"/>
    <cacheHierarchy uniqueName="[Measures].[__No measures defined]" caption="__No measures defined" measure="1" displayFolder="" count="0" hidden="1"/>
    <cacheHierarchy uniqueName="[Measures].[Sum of Cost ($)]" caption="Sum of Cost ($)" measure="1" displayFolder="" measureGroup="Table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st ($)]" caption="Count of Cost ($)" measure="1" displayFolder="" measureGroup="Table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pplicant ID]" caption="Sum of Applicant ID" measure="1" displayFolder="" measureGroup="Table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Recruitment ID]" caption="Count of Recruitment ID" measure="1" displayFolder="" measureGroup="Tabl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Applicant ID]" caption="Distinct Count of Applicant ID" measure="1" displayFolder="" measureGroup="Table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Recruitment ID]" caption="Distinct Count of Recruitment ID" measure="1" displayFolder="" measureGroup="Tabl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Data" uniqueName="[TableData]" caption="TableData"/>
  </dimensions>
  <measureGroups count="1">
    <measureGroup name="TableData" caption="Table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42.634794907404" backgroundQuery="1" createdVersion="8" refreshedVersion="8" minRefreshableVersion="3" recordCount="0" supportSubquery="1" supportAdvancedDrill="1" xr:uid="{2312814B-19AA-4B89-B3F0-F2A5BE0B5C8F}">
  <cacheSource type="external" connectionId="1"/>
  <cacheFields count="3">
    <cacheField name="[TableData].[Decision].[Decision]" caption="Decision" numFmtId="0" hierarchy="7" level="1">
      <sharedItems count="2">
        <s v="Hired"/>
        <s v="Rejected"/>
      </sharedItems>
    </cacheField>
    <cacheField name="[TableData].[Source of Hire].[Source of Hire]" caption="Source of Hire" numFmtId="0" hierarchy="4" level="1">
      <sharedItems count="4">
        <s v="Agency"/>
        <s v="Company Website"/>
        <s v="Job Board"/>
        <s v="Referral"/>
      </sharedItems>
    </cacheField>
    <cacheField name="[Measures].[Count of Cost ($)]" caption="Count of Cost ($)" numFmtId="0" hierarchy="12" level="32767"/>
  </cacheFields>
  <cacheHierarchies count="17">
    <cacheHierarchy uniqueName="[TableData].[Recruitment ID]" caption="Recruitment ID" attribute="1" defaultMemberUniqueName="[TableData].[Recruitment ID].[All]" allUniqueName="[TableData].[Recruitment ID].[All]" dimensionUniqueName="[TableData]" displayFolder="" count="0" memberValueDatatype="130" unbalanced="0"/>
    <cacheHierarchy uniqueName="[TableData].[Department]" caption="Department" attribute="1" defaultMemberUniqueName="[TableData].[Department].[All]" allUniqueName="[TableData].[Department].[All]" dimensionUniqueName="[TableData]" displayFolder="" count="0" memberValueDatatype="130" unbalanced="0"/>
    <cacheHierarchy uniqueName="[TableData].[JR Date]" caption="JR Date" attribute="1" time="1" defaultMemberUniqueName="[TableData].[JR Date].[All]" allUniqueName="[TableData].[JR Date].[All]" dimensionUniqueName="[TableData]" displayFolder="" count="0" memberValueDatatype="7" unbalanced="0"/>
    <cacheHierarchy uniqueName="[TableData].[Applicant ID]" caption="Applicant ID" attribute="1" defaultMemberUniqueName="[TableData].[Applicant ID].[All]" allUniqueName="[TableData].[Applicant ID].[All]" dimensionUniqueName="[TableData]" displayFolder="" count="0" memberValueDatatype="20" unbalanced="0"/>
    <cacheHierarchy uniqueName="[TableData].[Source of Hire]" caption="Source of Hire" attribute="1" defaultMemberUniqueName="[TableData].[Source of Hire].[All]" allUniqueName="[TableData].[Source of Hire].[All]" dimensionUniqueName="[TableData]" displayFolder="" count="2" memberValueDatatype="130" unbalanced="0">
      <fieldsUsage count="2">
        <fieldUsage x="-1"/>
        <fieldUsage x="1"/>
      </fieldsUsage>
    </cacheHierarchy>
    <cacheHierarchy uniqueName="[TableData].[Application Date]" caption="Application Date" attribute="1" time="1" defaultMemberUniqueName="[TableData].[Application Date].[All]" allUniqueName="[TableData].[Application Date].[All]" dimensionUniqueName="[TableData]" displayFolder="" count="0" memberValueDatatype="7" unbalanced="0"/>
    <cacheHierarchy uniqueName="[TableData].[Decision Date]" caption="Decision Date" attribute="1" time="1" defaultMemberUniqueName="[TableData].[Decision Date].[All]" allUniqueName="[TableData].[Decision Date].[All]" dimensionUniqueName="[TableData]" displayFolder="" count="0" memberValueDatatype="7" unbalanced="0"/>
    <cacheHierarchy uniqueName="[TableData].[Decision]" caption="Decision" attribute="1" defaultMemberUniqueName="[TableData].[Decision].[All]" allUniqueName="[TableData].[Decision].[All]" dimensionUniqueName="[TableData]" displayFolder="" count="2" memberValueDatatype="130" unbalanced="0">
      <fieldsUsage count="2">
        <fieldUsage x="-1"/>
        <fieldUsage x="0"/>
      </fieldsUsage>
    </cacheHierarchy>
    <cacheHierarchy uniqueName="[TableData].[Cost ($)]" caption="Cost ($)" attribute="1" defaultMemberUniqueName="[TableData].[Cost ($)].[All]" allUniqueName="[TableData].[Cost ($)].[All]" dimensionUniqueName="[TableData]" displayFolder="" count="0" memberValueDatatype="20" unbalanced="0"/>
    <cacheHierarchy uniqueName="[Measures].[__XL_Count TableData]" caption="__XL_Count TableData" measure="1" displayFolder="" measureGroup="TableData" count="0" hidden="1"/>
    <cacheHierarchy uniqueName="[Measures].[__No measures defined]" caption="__No measures defined" measure="1" displayFolder="" count="0" hidden="1"/>
    <cacheHierarchy uniqueName="[Measures].[Sum of Cost ($)]" caption="Sum of Cost ($)" measure="1" displayFolder="" measureGroup="Table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st ($)]" caption="Count of Cost ($)" measure="1" displayFolder="" measureGroup="Table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pplicant ID]" caption="Sum of Applicant ID" measure="1" displayFolder="" measureGroup="Table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Recruitment ID]" caption="Count of Recruitment ID" measure="1" displayFolder="" measureGroup="Tabl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Applicant ID]" caption="Distinct Count of Applicant ID" measure="1" displayFolder="" measureGroup="Table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Recruitment ID]" caption="Distinct Count of Recruitment ID" measure="1" displayFolder="" measureGroup="Tabl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Data" uniqueName="[TableData]" caption="TableData"/>
  </dimensions>
  <measureGroups count="1">
    <measureGroup name="TableData" caption="Table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42.64131979167" backgroundQuery="1" createdVersion="8" refreshedVersion="8" minRefreshableVersion="3" recordCount="0" supportSubquery="1" supportAdvancedDrill="1" xr:uid="{C1C68170-3CB1-4309-92A2-06BB3A834B27}">
  <cacheSource type="external" connectionId="1"/>
  <cacheFields count="3">
    <cacheField name="[Measures].[Sum of Cost ($)]" caption="Sum of Cost ($)" numFmtId="0" hierarchy="11" level="32767"/>
    <cacheField name="[Measures].[Distinct Count of Recruitment ID]" caption="Distinct Count of Recruitment ID" numFmtId="0" hierarchy="16" level="32767"/>
    <cacheField name="[Measures].[Sum of Applicant ID]" caption="Sum of Applicant ID" numFmtId="0" hierarchy="13" level="32767"/>
  </cacheFields>
  <cacheHierarchies count="17">
    <cacheHierarchy uniqueName="[TableData].[Recruitment ID]" caption="Recruitment ID" attribute="1" defaultMemberUniqueName="[TableData].[Recruitment ID].[All]" allUniqueName="[TableData].[Recruitment ID].[All]" dimensionUniqueName="[TableData]" displayFolder="" count="0" memberValueDatatype="130" unbalanced="0"/>
    <cacheHierarchy uniqueName="[TableData].[Department]" caption="Department" attribute="1" defaultMemberUniqueName="[TableData].[Department].[All]" allUniqueName="[TableData].[Department].[All]" dimensionUniqueName="[TableData]" displayFolder="" count="0" memberValueDatatype="130" unbalanced="0"/>
    <cacheHierarchy uniqueName="[TableData].[JR Date]" caption="JR Date" attribute="1" time="1" defaultMemberUniqueName="[TableData].[JR Date].[All]" allUniqueName="[TableData].[JR Date].[All]" dimensionUniqueName="[TableData]" displayFolder="" count="0" memberValueDatatype="7" unbalanced="0"/>
    <cacheHierarchy uniqueName="[TableData].[Applicant ID]" caption="Applicant ID" attribute="1" defaultMemberUniqueName="[TableData].[Applicant ID].[All]" allUniqueName="[TableData].[Applicant ID].[All]" dimensionUniqueName="[TableData]" displayFolder="" count="0" memberValueDatatype="20" unbalanced="0"/>
    <cacheHierarchy uniqueName="[TableData].[Source of Hire]" caption="Source of Hire" attribute="1" defaultMemberUniqueName="[TableData].[Source of Hire].[All]" allUniqueName="[TableData].[Source of Hire].[All]" dimensionUniqueName="[TableData]" displayFolder="" count="0" memberValueDatatype="130" unbalanced="0"/>
    <cacheHierarchy uniqueName="[TableData].[Application Date]" caption="Application Date" attribute="1" time="1" defaultMemberUniqueName="[TableData].[Application Date].[All]" allUniqueName="[TableData].[Application Date].[All]" dimensionUniqueName="[TableData]" displayFolder="" count="0" memberValueDatatype="7" unbalanced="0"/>
    <cacheHierarchy uniqueName="[TableData].[Decision Date]" caption="Decision Date" attribute="1" time="1" defaultMemberUniqueName="[TableData].[Decision Date].[All]" allUniqueName="[TableData].[Decision Date].[All]" dimensionUniqueName="[TableData]" displayFolder="" count="0" memberValueDatatype="7" unbalanced="0"/>
    <cacheHierarchy uniqueName="[TableData].[Decision]" caption="Decision" attribute="1" defaultMemberUniqueName="[TableData].[Decision].[All]" allUniqueName="[TableData].[Decision].[All]" dimensionUniqueName="[TableData]" displayFolder="" count="0" memberValueDatatype="130" unbalanced="0"/>
    <cacheHierarchy uniqueName="[TableData].[Cost ($)]" caption="Cost ($)" attribute="1" defaultMemberUniqueName="[TableData].[Cost ($)].[All]" allUniqueName="[TableData].[Cost ($)].[All]" dimensionUniqueName="[TableData]" displayFolder="" count="0" memberValueDatatype="20" unbalanced="0"/>
    <cacheHierarchy uniqueName="[Measures].[__XL_Count TableData]" caption="__XL_Count TableData" measure="1" displayFolder="" measureGroup="TableData" count="0" hidden="1"/>
    <cacheHierarchy uniqueName="[Measures].[__No measures defined]" caption="__No measures defined" measure="1" displayFolder="" count="0" hidden="1"/>
    <cacheHierarchy uniqueName="[Measures].[Sum of Cost ($)]" caption="Sum of Cost ($)" measure="1" displayFolder="" measureGroup="Table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unt of Cost ($)]" caption="Count of Cost ($)" measure="1" displayFolder="" measureGroup="TableDat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Applicant ID]" caption="Sum of Applicant ID" measure="1" displayFolder="" measureGroup="Table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Recruitment ID]" caption="Count of Recruitment ID" measure="1" displayFolder="" measureGroup="Tabl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Applicant ID]" caption="Distinct Count of Applicant ID" measure="1" displayFolder="" measureGroup="TableData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Recruitment ID]" caption="Distinct Count of Recruitment ID" measure="1" displayFolder="" measureGroup="Table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Data" uniqueName="[TableData]" caption="TableData"/>
  </dimensions>
  <measureGroups count="1">
    <measureGroup name="TableData" caption="Table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E15B96-E790-41F6-A363-8D53F62D0548}" name="PivotTable1" cacheId="6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A3:D9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Cost ($)" fld="0" baseField="0" baseItem="0" numFmtId="3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cruitment Data - Copy.xlsx!TableData">
        <x15:activeTabTopLevelEntity name="[Table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09370-CAD0-43F6-AD07-918AA5357339}" name="PivotTable1" cacheId="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9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Cost ($)" fld="2" subtotal="count" showDataAs="percentOfRow" baseField="0" baseItem="0" numFmtId="10"/>
  </dataField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cruitment Data - Copy.xlsx!TableData">
        <x15:activeTabTopLevelEntity name="[Table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798D4D-6A8E-4C61-916B-1E20A2E96FDE}" name="PivotTable2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Distinct Count of Recruitment ID" fld="1" subtotal="count" baseField="0" baseItem="1">
      <extLst>
        <ext xmlns:x15="http://schemas.microsoft.com/office/spreadsheetml/2010/11/main" uri="{FABC7310-3BB5-11E1-824E-6D434824019B}">
          <x15:dataField isCountDistinct="1"/>
        </ext>
      </extLst>
    </dataField>
    <dataField name="Sum of Applicant ID" fld="2" baseField="0" baseItem="1"/>
    <dataField name="Sum of Cost ($)" fld="0" baseField="0" baseItem="0" numFmtId="3"/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 of Applicant ID"/>
    <pivotHierarchy dragToData="1"/>
    <pivotHierarchy dragToData="1"/>
    <pivotHierarchy dragToData="1" caption="Distinct Count of Recruitment ID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cruitment Data - Copy.xlsx!TableData">
        <x15:activeTabTopLevelEntity name="[Table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54DF56-2B20-4B3A-9EFE-156A8C15C4BD}" name="TableData" displayName="TableData" ref="A1:I101" totalsRowShown="0" headerRowDxfId="3">
  <autoFilter ref="A1:I101" xr:uid="{8854DF56-2B20-4B3A-9EFE-156A8C15C4BD}"/>
  <tableColumns count="9">
    <tableColumn id="1" xr3:uid="{594C9393-61EC-4ABF-BE36-C7E23CFDCB8A}" name="Recruitment ID"/>
    <tableColumn id="2" xr3:uid="{81E05EA4-9088-4138-AEFC-CEDACDD62187}" name="Department"/>
    <tableColumn id="3" xr3:uid="{5FC0545A-E0C7-44D4-A0FE-1D1A6497FCDB}" name="JR Date" dataDxfId="2"/>
    <tableColumn id="4" xr3:uid="{ED3C9759-4992-4A1E-83D1-27087D702521}" name="Applicant ID"/>
    <tableColumn id="5" xr3:uid="{82C2EC65-0A76-4A69-855E-1E54C5B47FDA}" name="Source of Hire"/>
    <tableColumn id="6" xr3:uid="{00B606E1-592C-4FC9-82AF-0C02FE7BEA2E}" name="Application Date" dataDxfId="1"/>
    <tableColumn id="7" xr3:uid="{BE0DC17E-AFCA-436D-9BDE-6CF888E31082}" name="Decision Date" dataDxfId="0"/>
    <tableColumn id="8" xr3:uid="{1139F1AD-062B-43D8-8689-799E0972E8E8}" name="Decision"/>
    <tableColumn id="9" xr3:uid="{35223A29-D5D4-470B-A010-F8120CB81A41}" name="Cost (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CD64-F449-48E5-9D9F-B01DD915ED2A}">
  <dimension ref="A1:I101"/>
  <sheetViews>
    <sheetView workbookViewId="0"/>
  </sheetViews>
  <sheetFormatPr defaultRowHeight="15.6" x14ac:dyDescent="0.3"/>
  <cols>
    <col min="1" max="1" width="13.19921875" bestFit="1" customWidth="1"/>
    <col min="2" max="2" width="12.5" bestFit="1" customWidth="1"/>
    <col min="3" max="3" width="9.09765625" bestFit="1" customWidth="1"/>
    <col min="4" max="4" width="10.69921875" bestFit="1" customWidth="1"/>
    <col min="5" max="5" width="15.69921875" bestFit="1" customWidth="1"/>
    <col min="6" max="6" width="14.5" bestFit="1" customWidth="1"/>
    <col min="7" max="7" width="12.19921875" bestFit="1" customWidth="1"/>
    <col min="8" max="8" width="8.09765625" bestFit="1" customWidth="1"/>
    <col min="9" max="9" width="7.29687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s="1">
        <v>45300</v>
      </c>
      <c r="D2">
        <v>1</v>
      </c>
      <c r="E2" t="s">
        <v>11</v>
      </c>
      <c r="F2" s="1">
        <v>45667</v>
      </c>
      <c r="G2" s="1">
        <v>45672</v>
      </c>
      <c r="H2" t="s">
        <v>12</v>
      </c>
      <c r="I2">
        <v>1000</v>
      </c>
    </row>
    <row r="3" spans="1:9" x14ac:dyDescent="0.3">
      <c r="A3" t="s">
        <v>9</v>
      </c>
      <c r="B3" t="s">
        <v>10</v>
      </c>
      <c r="C3" s="1">
        <v>45300</v>
      </c>
      <c r="D3">
        <v>2</v>
      </c>
      <c r="E3" t="s">
        <v>13</v>
      </c>
      <c r="F3" s="1">
        <v>45668</v>
      </c>
      <c r="G3" s="1">
        <v>45673</v>
      </c>
      <c r="H3" t="s">
        <v>14</v>
      </c>
      <c r="I3">
        <v>250</v>
      </c>
    </row>
    <row r="4" spans="1:9" x14ac:dyDescent="0.3">
      <c r="A4" t="s">
        <v>9</v>
      </c>
      <c r="B4" t="s">
        <v>10</v>
      </c>
      <c r="C4" s="1">
        <v>45300</v>
      </c>
      <c r="D4">
        <v>3</v>
      </c>
      <c r="E4" t="s">
        <v>13</v>
      </c>
      <c r="F4" s="1">
        <v>45669</v>
      </c>
      <c r="G4" s="1">
        <v>45674</v>
      </c>
      <c r="H4" t="s">
        <v>14</v>
      </c>
      <c r="I4">
        <v>250</v>
      </c>
    </row>
    <row r="5" spans="1:9" x14ac:dyDescent="0.3">
      <c r="A5" t="s">
        <v>15</v>
      </c>
      <c r="B5" t="s">
        <v>10</v>
      </c>
      <c r="C5" s="1">
        <v>45300</v>
      </c>
      <c r="D5">
        <v>4</v>
      </c>
      <c r="E5" t="s">
        <v>16</v>
      </c>
      <c r="F5" s="1">
        <v>45670</v>
      </c>
      <c r="G5" s="1">
        <v>45675</v>
      </c>
      <c r="H5" t="s">
        <v>14</v>
      </c>
      <c r="I5">
        <v>0</v>
      </c>
    </row>
    <row r="6" spans="1:9" x14ac:dyDescent="0.3">
      <c r="A6" t="s">
        <v>15</v>
      </c>
      <c r="B6" t="s">
        <v>10</v>
      </c>
      <c r="C6" s="1">
        <v>45300</v>
      </c>
      <c r="D6">
        <v>5</v>
      </c>
      <c r="E6" t="s">
        <v>13</v>
      </c>
      <c r="F6" s="1">
        <v>45671</v>
      </c>
      <c r="G6" s="1">
        <v>45676</v>
      </c>
      <c r="H6" t="s">
        <v>14</v>
      </c>
      <c r="I6">
        <v>250</v>
      </c>
    </row>
    <row r="7" spans="1:9" x14ac:dyDescent="0.3">
      <c r="A7" t="s">
        <v>15</v>
      </c>
      <c r="B7" t="s">
        <v>10</v>
      </c>
      <c r="C7" s="1">
        <v>45300</v>
      </c>
      <c r="D7">
        <v>6</v>
      </c>
      <c r="E7" t="s">
        <v>11</v>
      </c>
      <c r="F7" s="1">
        <v>45672</v>
      </c>
      <c r="G7" s="1">
        <v>45677</v>
      </c>
      <c r="H7" t="s">
        <v>14</v>
      </c>
      <c r="I7">
        <v>0</v>
      </c>
    </row>
    <row r="8" spans="1:9" x14ac:dyDescent="0.3">
      <c r="A8" t="s">
        <v>17</v>
      </c>
      <c r="B8" t="s">
        <v>10</v>
      </c>
      <c r="C8" s="1">
        <v>45300</v>
      </c>
      <c r="D8">
        <v>8</v>
      </c>
      <c r="E8" t="s">
        <v>13</v>
      </c>
      <c r="F8" s="1">
        <v>45673</v>
      </c>
      <c r="G8" s="1">
        <v>45678</v>
      </c>
      <c r="H8" t="s">
        <v>12</v>
      </c>
      <c r="I8">
        <v>1200</v>
      </c>
    </row>
    <row r="9" spans="1:9" x14ac:dyDescent="0.3">
      <c r="A9" t="s">
        <v>17</v>
      </c>
      <c r="B9" t="s">
        <v>10</v>
      </c>
      <c r="C9" s="1">
        <v>45300</v>
      </c>
      <c r="D9">
        <v>10</v>
      </c>
      <c r="E9" t="s">
        <v>16</v>
      </c>
      <c r="F9" s="1">
        <v>45674</v>
      </c>
      <c r="G9" s="1">
        <v>45679</v>
      </c>
      <c r="H9" t="s">
        <v>14</v>
      </c>
      <c r="I9">
        <v>0</v>
      </c>
    </row>
    <row r="10" spans="1:9" x14ac:dyDescent="0.3">
      <c r="A10" t="s">
        <v>18</v>
      </c>
      <c r="B10" t="s">
        <v>19</v>
      </c>
      <c r="C10" s="1">
        <v>45304</v>
      </c>
      <c r="D10">
        <v>7</v>
      </c>
      <c r="E10" t="s">
        <v>16</v>
      </c>
      <c r="F10" s="1">
        <v>45672</v>
      </c>
      <c r="G10" s="1">
        <v>45682</v>
      </c>
      <c r="H10" t="s">
        <v>12</v>
      </c>
      <c r="I10">
        <v>500</v>
      </c>
    </row>
    <row r="11" spans="1:9" x14ac:dyDescent="0.3">
      <c r="A11" t="s">
        <v>18</v>
      </c>
      <c r="B11" t="s">
        <v>19</v>
      </c>
      <c r="C11" s="1">
        <v>45304</v>
      </c>
      <c r="D11">
        <v>9</v>
      </c>
      <c r="E11" t="s">
        <v>20</v>
      </c>
      <c r="F11" s="1">
        <v>45673</v>
      </c>
      <c r="G11" s="1">
        <v>45698</v>
      </c>
      <c r="H11" t="s">
        <v>14</v>
      </c>
      <c r="I11">
        <v>0</v>
      </c>
    </row>
    <row r="12" spans="1:9" x14ac:dyDescent="0.3">
      <c r="A12" t="s">
        <v>18</v>
      </c>
      <c r="B12" t="s">
        <v>19</v>
      </c>
      <c r="C12" s="1">
        <v>45304</v>
      </c>
      <c r="D12">
        <v>11</v>
      </c>
      <c r="E12" t="s">
        <v>13</v>
      </c>
      <c r="F12" s="1">
        <v>45674</v>
      </c>
      <c r="G12" s="1">
        <v>45693</v>
      </c>
      <c r="H12" t="s">
        <v>14</v>
      </c>
      <c r="I12">
        <v>250</v>
      </c>
    </row>
    <row r="13" spans="1:9" x14ac:dyDescent="0.3">
      <c r="A13" t="s">
        <v>18</v>
      </c>
      <c r="B13" t="s">
        <v>19</v>
      </c>
      <c r="C13" s="1">
        <v>45304</v>
      </c>
      <c r="D13">
        <v>12</v>
      </c>
      <c r="E13" t="s">
        <v>16</v>
      </c>
      <c r="F13" s="1">
        <v>45675</v>
      </c>
      <c r="G13" s="1">
        <v>45685</v>
      </c>
      <c r="H13" t="s">
        <v>14</v>
      </c>
      <c r="I13">
        <v>0</v>
      </c>
    </row>
    <row r="14" spans="1:9" x14ac:dyDescent="0.3">
      <c r="A14" t="s">
        <v>18</v>
      </c>
      <c r="B14" t="s">
        <v>19</v>
      </c>
      <c r="C14" s="1">
        <v>45304</v>
      </c>
      <c r="D14">
        <v>13</v>
      </c>
      <c r="E14" t="s">
        <v>20</v>
      </c>
      <c r="F14" s="1">
        <v>45676</v>
      </c>
      <c r="G14" s="1">
        <v>45703</v>
      </c>
      <c r="H14" t="s">
        <v>14</v>
      </c>
      <c r="I14">
        <v>0</v>
      </c>
    </row>
    <row r="15" spans="1:9" x14ac:dyDescent="0.3">
      <c r="A15" t="s">
        <v>18</v>
      </c>
      <c r="B15" t="s">
        <v>19</v>
      </c>
      <c r="C15" s="1">
        <v>45304</v>
      </c>
      <c r="D15">
        <v>14</v>
      </c>
      <c r="E15" t="s">
        <v>13</v>
      </c>
      <c r="F15" s="1">
        <v>45677</v>
      </c>
      <c r="G15" s="1">
        <v>45696</v>
      </c>
      <c r="H15" t="s">
        <v>14</v>
      </c>
      <c r="I15">
        <v>250</v>
      </c>
    </row>
    <row r="16" spans="1:9" x14ac:dyDescent="0.3">
      <c r="A16" t="s">
        <v>21</v>
      </c>
      <c r="B16" t="s">
        <v>22</v>
      </c>
      <c r="C16" s="1">
        <v>45323</v>
      </c>
      <c r="D16">
        <v>15</v>
      </c>
      <c r="E16" t="s">
        <v>13</v>
      </c>
      <c r="F16" s="1">
        <v>45689</v>
      </c>
      <c r="G16" s="1">
        <v>45703</v>
      </c>
      <c r="H16" t="s">
        <v>14</v>
      </c>
      <c r="I16">
        <v>250</v>
      </c>
    </row>
    <row r="17" spans="1:9" x14ac:dyDescent="0.3">
      <c r="A17" t="s">
        <v>23</v>
      </c>
      <c r="B17" t="s">
        <v>22</v>
      </c>
      <c r="C17" s="1">
        <v>45323</v>
      </c>
      <c r="D17">
        <v>16</v>
      </c>
      <c r="E17" t="s">
        <v>13</v>
      </c>
      <c r="F17" s="1">
        <v>45690</v>
      </c>
      <c r="G17" s="1">
        <v>45704</v>
      </c>
      <c r="H17" t="s">
        <v>14</v>
      </c>
      <c r="I17">
        <v>250</v>
      </c>
    </row>
    <row r="18" spans="1:9" x14ac:dyDescent="0.3">
      <c r="A18" t="s">
        <v>24</v>
      </c>
      <c r="B18" t="s">
        <v>22</v>
      </c>
      <c r="C18" s="1">
        <v>45323</v>
      </c>
      <c r="D18">
        <v>17</v>
      </c>
      <c r="E18" t="s">
        <v>13</v>
      </c>
      <c r="F18" s="1">
        <v>45691</v>
      </c>
      <c r="G18" s="1">
        <v>45705</v>
      </c>
      <c r="H18" t="s">
        <v>14</v>
      </c>
      <c r="I18">
        <v>250</v>
      </c>
    </row>
    <row r="19" spans="1:9" x14ac:dyDescent="0.3">
      <c r="A19" t="s">
        <v>25</v>
      </c>
      <c r="B19" t="s">
        <v>22</v>
      </c>
      <c r="C19" s="1">
        <v>45323</v>
      </c>
      <c r="D19">
        <v>18</v>
      </c>
      <c r="E19" t="s">
        <v>13</v>
      </c>
      <c r="F19" s="1">
        <v>45692</v>
      </c>
      <c r="G19" s="1">
        <v>45706</v>
      </c>
      <c r="H19" t="s">
        <v>14</v>
      </c>
      <c r="I19">
        <v>250</v>
      </c>
    </row>
    <row r="20" spans="1:9" x14ac:dyDescent="0.3">
      <c r="A20" t="s">
        <v>21</v>
      </c>
      <c r="B20" t="s">
        <v>22</v>
      </c>
      <c r="C20" s="1">
        <v>45323</v>
      </c>
      <c r="D20">
        <v>19</v>
      </c>
      <c r="E20" t="s">
        <v>20</v>
      </c>
      <c r="F20" s="1">
        <v>45693</v>
      </c>
      <c r="G20" s="1">
        <v>45726</v>
      </c>
      <c r="H20" t="s">
        <v>12</v>
      </c>
      <c r="I20">
        <v>5500</v>
      </c>
    </row>
    <row r="21" spans="1:9" x14ac:dyDescent="0.3">
      <c r="A21" t="s">
        <v>23</v>
      </c>
      <c r="B21" t="s">
        <v>22</v>
      </c>
      <c r="C21" s="1">
        <v>45323</v>
      </c>
      <c r="D21">
        <v>20</v>
      </c>
      <c r="E21" t="s">
        <v>16</v>
      </c>
      <c r="F21" s="1">
        <v>45694</v>
      </c>
      <c r="G21" s="1">
        <v>45708</v>
      </c>
      <c r="H21" t="s">
        <v>14</v>
      </c>
      <c r="I21">
        <v>0</v>
      </c>
    </row>
    <row r="22" spans="1:9" x14ac:dyDescent="0.3">
      <c r="A22" t="s">
        <v>24</v>
      </c>
      <c r="B22" t="s">
        <v>22</v>
      </c>
      <c r="C22" s="1">
        <v>45323</v>
      </c>
      <c r="D22">
        <v>21</v>
      </c>
      <c r="E22" t="s">
        <v>16</v>
      </c>
      <c r="F22" s="1">
        <v>45695</v>
      </c>
      <c r="G22" s="1">
        <v>45709</v>
      </c>
      <c r="H22" t="s">
        <v>12</v>
      </c>
      <c r="I22">
        <v>500</v>
      </c>
    </row>
    <row r="23" spans="1:9" x14ac:dyDescent="0.3">
      <c r="A23" t="s">
        <v>25</v>
      </c>
      <c r="B23" t="s">
        <v>22</v>
      </c>
      <c r="C23" s="1">
        <v>45323</v>
      </c>
      <c r="D23">
        <v>22</v>
      </c>
      <c r="E23" t="s">
        <v>20</v>
      </c>
      <c r="F23" s="1">
        <v>45696</v>
      </c>
      <c r="G23" s="1">
        <v>45731</v>
      </c>
      <c r="H23" t="s">
        <v>12</v>
      </c>
      <c r="I23">
        <v>5700</v>
      </c>
    </row>
    <row r="24" spans="1:9" x14ac:dyDescent="0.3">
      <c r="A24" t="s">
        <v>21</v>
      </c>
      <c r="B24" t="s">
        <v>22</v>
      </c>
      <c r="C24" s="1">
        <v>45323</v>
      </c>
      <c r="D24">
        <v>23</v>
      </c>
      <c r="E24" t="s">
        <v>16</v>
      </c>
      <c r="F24" s="1">
        <v>45697</v>
      </c>
      <c r="G24" s="1">
        <v>45711</v>
      </c>
      <c r="H24" t="s">
        <v>14</v>
      </c>
      <c r="I24">
        <v>0</v>
      </c>
    </row>
    <row r="25" spans="1:9" x14ac:dyDescent="0.3">
      <c r="A25" t="s">
        <v>23</v>
      </c>
      <c r="B25" t="s">
        <v>22</v>
      </c>
      <c r="C25" s="1">
        <v>45323</v>
      </c>
      <c r="D25">
        <v>24</v>
      </c>
      <c r="E25" t="s">
        <v>20</v>
      </c>
      <c r="F25" s="1">
        <v>45698</v>
      </c>
      <c r="G25" s="1">
        <v>45736</v>
      </c>
      <c r="H25" t="s">
        <v>12</v>
      </c>
      <c r="I25">
        <v>5900</v>
      </c>
    </row>
    <row r="26" spans="1:9" x14ac:dyDescent="0.3">
      <c r="A26" t="s">
        <v>24</v>
      </c>
      <c r="B26" t="s">
        <v>22</v>
      </c>
      <c r="C26" s="1">
        <v>45323</v>
      </c>
      <c r="D26">
        <v>25</v>
      </c>
      <c r="E26" t="s">
        <v>16</v>
      </c>
      <c r="F26" s="1">
        <v>45699</v>
      </c>
      <c r="G26" s="1">
        <v>45713</v>
      </c>
      <c r="H26" t="s">
        <v>14</v>
      </c>
      <c r="I26">
        <v>0</v>
      </c>
    </row>
    <row r="27" spans="1:9" x14ac:dyDescent="0.3">
      <c r="A27" t="s">
        <v>26</v>
      </c>
      <c r="B27" t="s">
        <v>27</v>
      </c>
      <c r="C27" s="1">
        <v>45379</v>
      </c>
      <c r="D27">
        <v>26</v>
      </c>
      <c r="E27" t="s">
        <v>11</v>
      </c>
      <c r="F27" s="1">
        <v>45748</v>
      </c>
      <c r="G27" s="1">
        <v>45762</v>
      </c>
      <c r="H27" t="s">
        <v>14</v>
      </c>
      <c r="I27">
        <v>0</v>
      </c>
    </row>
    <row r="28" spans="1:9" x14ac:dyDescent="0.3">
      <c r="A28" t="s">
        <v>26</v>
      </c>
      <c r="B28" t="s">
        <v>27</v>
      </c>
      <c r="C28" s="1">
        <v>45379</v>
      </c>
      <c r="D28">
        <v>27</v>
      </c>
      <c r="E28" t="s">
        <v>13</v>
      </c>
      <c r="F28" s="1">
        <v>45749</v>
      </c>
      <c r="G28" s="1">
        <v>45767</v>
      </c>
      <c r="H28" t="s">
        <v>14</v>
      </c>
      <c r="I28">
        <v>250</v>
      </c>
    </row>
    <row r="29" spans="1:9" x14ac:dyDescent="0.3">
      <c r="A29" t="s">
        <v>26</v>
      </c>
      <c r="B29" t="s">
        <v>27</v>
      </c>
      <c r="C29" s="1">
        <v>45379</v>
      </c>
      <c r="D29">
        <v>28</v>
      </c>
      <c r="E29" t="s">
        <v>13</v>
      </c>
      <c r="F29" s="1">
        <v>45750</v>
      </c>
      <c r="G29" s="1">
        <v>45765</v>
      </c>
      <c r="H29" t="s">
        <v>12</v>
      </c>
      <c r="I29">
        <v>1200</v>
      </c>
    </row>
    <row r="30" spans="1:9" x14ac:dyDescent="0.3">
      <c r="A30" t="s">
        <v>26</v>
      </c>
      <c r="B30" t="s">
        <v>27</v>
      </c>
      <c r="C30" s="1">
        <v>45379</v>
      </c>
      <c r="D30">
        <v>29</v>
      </c>
      <c r="E30" t="s">
        <v>16</v>
      </c>
      <c r="F30" s="1">
        <v>45751</v>
      </c>
      <c r="G30" s="1">
        <v>45763</v>
      </c>
      <c r="H30" t="s">
        <v>14</v>
      </c>
      <c r="I30">
        <v>0</v>
      </c>
    </row>
    <row r="31" spans="1:9" x14ac:dyDescent="0.3">
      <c r="A31" t="s">
        <v>26</v>
      </c>
      <c r="B31" t="s">
        <v>27</v>
      </c>
      <c r="C31" s="1">
        <v>45379</v>
      </c>
      <c r="D31">
        <v>30</v>
      </c>
      <c r="E31" t="s">
        <v>11</v>
      </c>
      <c r="F31" s="1">
        <v>45752</v>
      </c>
      <c r="G31" s="1">
        <v>45767</v>
      </c>
      <c r="H31" t="s">
        <v>14</v>
      </c>
      <c r="I31">
        <v>0</v>
      </c>
    </row>
    <row r="32" spans="1:9" x14ac:dyDescent="0.3">
      <c r="A32" t="s">
        <v>26</v>
      </c>
      <c r="B32" t="s">
        <v>27</v>
      </c>
      <c r="C32" s="1">
        <v>45379</v>
      </c>
      <c r="D32">
        <v>31</v>
      </c>
      <c r="E32" t="s">
        <v>13</v>
      </c>
      <c r="F32" s="1">
        <v>45753</v>
      </c>
      <c r="G32" s="1">
        <v>45769</v>
      </c>
      <c r="H32" t="s">
        <v>14</v>
      </c>
      <c r="I32">
        <v>250</v>
      </c>
    </row>
    <row r="33" spans="1:9" x14ac:dyDescent="0.3">
      <c r="A33" t="s">
        <v>26</v>
      </c>
      <c r="B33" t="s">
        <v>27</v>
      </c>
      <c r="C33" s="1">
        <v>45379</v>
      </c>
      <c r="D33">
        <v>32</v>
      </c>
      <c r="E33" t="s">
        <v>11</v>
      </c>
      <c r="F33" s="1">
        <v>45754</v>
      </c>
      <c r="G33" s="1">
        <v>45772</v>
      </c>
      <c r="H33" t="s">
        <v>14</v>
      </c>
      <c r="I33">
        <v>0</v>
      </c>
    </row>
    <row r="34" spans="1:9" x14ac:dyDescent="0.3">
      <c r="A34" t="s">
        <v>26</v>
      </c>
      <c r="B34" t="s">
        <v>27</v>
      </c>
      <c r="C34" s="1">
        <v>45379</v>
      </c>
      <c r="D34">
        <v>33</v>
      </c>
      <c r="E34" t="s">
        <v>13</v>
      </c>
      <c r="F34" s="1">
        <v>45755</v>
      </c>
      <c r="G34" s="1">
        <v>45775</v>
      </c>
      <c r="H34" t="s">
        <v>14</v>
      </c>
      <c r="I34">
        <v>250</v>
      </c>
    </row>
    <row r="35" spans="1:9" x14ac:dyDescent="0.3">
      <c r="A35" t="s">
        <v>28</v>
      </c>
      <c r="B35" t="s">
        <v>22</v>
      </c>
      <c r="C35" s="1">
        <v>45389</v>
      </c>
      <c r="D35">
        <v>34</v>
      </c>
      <c r="E35" t="s">
        <v>16</v>
      </c>
      <c r="F35" s="1">
        <v>45757</v>
      </c>
      <c r="G35" s="1">
        <v>45767</v>
      </c>
      <c r="H35" t="s">
        <v>14</v>
      </c>
      <c r="I35">
        <v>0</v>
      </c>
    </row>
    <row r="36" spans="1:9" x14ac:dyDescent="0.3">
      <c r="A36" t="s">
        <v>29</v>
      </c>
      <c r="B36" t="s">
        <v>22</v>
      </c>
      <c r="C36" s="1">
        <v>45389</v>
      </c>
      <c r="D36">
        <v>35</v>
      </c>
      <c r="E36" t="s">
        <v>13</v>
      </c>
      <c r="F36" s="1">
        <v>45758</v>
      </c>
      <c r="G36" s="1">
        <v>45772</v>
      </c>
      <c r="H36" t="s">
        <v>14</v>
      </c>
      <c r="I36">
        <v>250</v>
      </c>
    </row>
    <row r="37" spans="1:9" x14ac:dyDescent="0.3">
      <c r="A37" t="s">
        <v>28</v>
      </c>
      <c r="B37" t="s">
        <v>22</v>
      </c>
      <c r="C37" s="1">
        <v>45389</v>
      </c>
      <c r="D37">
        <v>36</v>
      </c>
      <c r="E37" t="s">
        <v>20</v>
      </c>
      <c r="F37" s="1">
        <v>45759</v>
      </c>
      <c r="G37" s="1">
        <v>45782</v>
      </c>
      <c r="H37" t="s">
        <v>12</v>
      </c>
      <c r="I37">
        <v>5800</v>
      </c>
    </row>
    <row r="38" spans="1:9" x14ac:dyDescent="0.3">
      <c r="A38" t="s">
        <v>29</v>
      </c>
      <c r="B38" t="s">
        <v>22</v>
      </c>
      <c r="C38" s="1">
        <v>45389</v>
      </c>
      <c r="D38">
        <v>37</v>
      </c>
      <c r="E38" t="s">
        <v>11</v>
      </c>
      <c r="F38" s="1">
        <v>45760</v>
      </c>
      <c r="G38" s="1">
        <v>45775</v>
      </c>
      <c r="H38" t="s">
        <v>14</v>
      </c>
      <c r="I38">
        <v>0</v>
      </c>
    </row>
    <row r="39" spans="1:9" x14ac:dyDescent="0.3">
      <c r="A39" t="s">
        <v>28</v>
      </c>
      <c r="B39" t="s">
        <v>22</v>
      </c>
      <c r="C39" s="1">
        <v>45389</v>
      </c>
      <c r="D39">
        <v>38</v>
      </c>
      <c r="E39" t="s">
        <v>13</v>
      </c>
      <c r="F39" s="1">
        <v>45762</v>
      </c>
      <c r="G39" s="1">
        <v>45777</v>
      </c>
      <c r="H39" t="s">
        <v>14</v>
      </c>
      <c r="I39">
        <v>250</v>
      </c>
    </row>
    <row r="40" spans="1:9" x14ac:dyDescent="0.3">
      <c r="A40" t="s">
        <v>29</v>
      </c>
      <c r="B40" t="s">
        <v>22</v>
      </c>
      <c r="C40" s="1">
        <v>45389</v>
      </c>
      <c r="D40">
        <v>40</v>
      </c>
      <c r="E40" t="s">
        <v>16</v>
      </c>
      <c r="F40" s="1">
        <v>45761</v>
      </c>
      <c r="G40" s="1">
        <v>45771</v>
      </c>
      <c r="H40" t="s">
        <v>12</v>
      </c>
      <c r="I40">
        <v>500</v>
      </c>
    </row>
    <row r="41" spans="1:9" x14ac:dyDescent="0.3">
      <c r="A41" t="s">
        <v>28</v>
      </c>
      <c r="B41" t="s">
        <v>22</v>
      </c>
      <c r="C41" s="1">
        <v>45389</v>
      </c>
      <c r="D41">
        <v>43</v>
      </c>
      <c r="E41" t="s">
        <v>16</v>
      </c>
      <c r="F41" s="1">
        <v>45765</v>
      </c>
      <c r="G41" s="1">
        <v>45775</v>
      </c>
      <c r="H41" t="s">
        <v>14</v>
      </c>
      <c r="I41">
        <v>0</v>
      </c>
    </row>
    <row r="42" spans="1:9" x14ac:dyDescent="0.3">
      <c r="A42" t="s">
        <v>29</v>
      </c>
      <c r="B42" t="s">
        <v>22</v>
      </c>
      <c r="C42" s="1">
        <v>45389</v>
      </c>
      <c r="D42">
        <v>44</v>
      </c>
      <c r="E42" t="s">
        <v>13</v>
      </c>
      <c r="F42" s="1">
        <v>45766</v>
      </c>
      <c r="G42" s="1">
        <v>45782</v>
      </c>
      <c r="H42" t="s">
        <v>14</v>
      </c>
      <c r="I42">
        <v>250</v>
      </c>
    </row>
    <row r="43" spans="1:9" x14ac:dyDescent="0.3">
      <c r="A43" t="s">
        <v>30</v>
      </c>
      <c r="B43" t="s">
        <v>31</v>
      </c>
      <c r="C43" s="1">
        <v>45395</v>
      </c>
      <c r="D43">
        <v>39</v>
      </c>
      <c r="E43" t="s">
        <v>13</v>
      </c>
      <c r="F43" s="1">
        <v>45762</v>
      </c>
      <c r="G43" s="1">
        <v>45807</v>
      </c>
      <c r="H43" t="s">
        <v>14</v>
      </c>
      <c r="I43">
        <v>250</v>
      </c>
    </row>
    <row r="44" spans="1:9" x14ac:dyDescent="0.3">
      <c r="A44" t="s">
        <v>30</v>
      </c>
      <c r="B44" t="s">
        <v>31</v>
      </c>
      <c r="C44" s="1">
        <v>45395</v>
      </c>
      <c r="D44">
        <v>41</v>
      </c>
      <c r="E44" t="s">
        <v>13</v>
      </c>
      <c r="F44" s="1">
        <v>45763</v>
      </c>
      <c r="G44" s="1">
        <v>45813</v>
      </c>
      <c r="H44" t="s">
        <v>12</v>
      </c>
      <c r="I44">
        <v>1300</v>
      </c>
    </row>
    <row r="45" spans="1:9" x14ac:dyDescent="0.3">
      <c r="A45" t="s">
        <v>32</v>
      </c>
      <c r="B45" t="s">
        <v>31</v>
      </c>
      <c r="C45" s="1">
        <v>45395</v>
      </c>
      <c r="D45">
        <v>42</v>
      </c>
      <c r="E45" t="s">
        <v>13</v>
      </c>
      <c r="F45" s="1">
        <v>45764</v>
      </c>
      <c r="G45" s="1">
        <v>45818</v>
      </c>
      <c r="H45" t="s">
        <v>14</v>
      </c>
      <c r="I45">
        <v>250</v>
      </c>
    </row>
    <row r="46" spans="1:9" x14ac:dyDescent="0.3">
      <c r="A46" t="s">
        <v>32</v>
      </c>
      <c r="B46" t="s">
        <v>31</v>
      </c>
      <c r="C46" s="1">
        <v>45395</v>
      </c>
      <c r="D46">
        <v>45</v>
      </c>
      <c r="E46" t="s">
        <v>20</v>
      </c>
      <c r="F46" s="1">
        <v>45767</v>
      </c>
      <c r="G46" s="1">
        <v>45818</v>
      </c>
      <c r="H46" t="s">
        <v>14</v>
      </c>
      <c r="I46">
        <v>0</v>
      </c>
    </row>
    <row r="47" spans="1:9" x14ac:dyDescent="0.3">
      <c r="A47" t="s">
        <v>33</v>
      </c>
      <c r="B47" t="s">
        <v>31</v>
      </c>
      <c r="C47" s="1">
        <v>45395</v>
      </c>
      <c r="D47">
        <v>46</v>
      </c>
      <c r="E47" t="s">
        <v>13</v>
      </c>
      <c r="F47" s="1">
        <v>45767</v>
      </c>
      <c r="G47" s="1">
        <v>45823</v>
      </c>
      <c r="H47" t="s">
        <v>14</v>
      </c>
      <c r="I47">
        <v>250</v>
      </c>
    </row>
    <row r="48" spans="1:9" x14ac:dyDescent="0.3">
      <c r="A48" t="s">
        <v>33</v>
      </c>
      <c r="B48" t="s">
        <v>31</v>
      </c>
      <c r="C48" s="1">
        <v>45395</v>
      </c>
      <c r="D48">
        <v>47</v>
      </c>
      <c r="E48" t="s">
        <v>16</v>
      </c>
      <c r="F48" s="1">
        <v>45768</v>
      </c>
      <c r="G48" s="1">
        <v>45805</v>
      </c>
      <c r="H48" t="s">
        <v>14</v>
      </c>
      <c r="I48">
        <v>0</v>
      </c>
    </row>
    <row r="49" spans="1:9" x14ac:dyDescent="0.3">
      <c r="A49" t="s">
        <v>34</v>
      </c>
      <c r="B49" t="s">
        <v>31</v>
      </c>
      <c r="C49" s="1">
        <v>45395</v>
      </c>
      <c r="D49">
        <v>48</v>
      </c>
      <c r="E49" t="s">
        <v>20</v>
      </c>
      <c r="F49" s="1">
        <v>45769</v>
      </c>
      <c r="G49" s="1">
        <v>45823</v>
      </c>
      <c r="H49" t="s">
        <v>14</v>
      </c>
      <c r="I49">
        <v>0</v>
      </c>
    </row>
    <row r="50" spans="1:9" x14ac:dyDescent="0.3">
      <c r="A50" t="s">
        <v>34</v>
      </c>
      <c r="B50" t="s">
        <v>31</v>
      </c>
      <c r="C50" s="1">
        <v>45395</v>
      </c>
      <c r="D50">
        <v>49</v>
      </c>
      <c r="E50" t="s">
        <v>20</v>
      </c>
      <c r="F50" s="1">
        <v>45772</v>
      </c>
      <c r="G50" s="1">
        <v>45828</v>
      </c>
      <c r="H50" t="s">
        <v>14</v>
      </c>
      <c r="I50">
        <v>0</v>
      </c>
    </row>
    <row r="51" spans="1:9" x14ac:dyDescent="0.3">
      <c r="A51" t="s">
        <v>35</v>
      </c>
      <c r="B51" t="s">
        <v>19</v>
      </c>
      <c r="C51" s="1">
        <v>45413</v>
      </c>
      <c r="D51">
        <v>50</v>
      </c>
      <c r="E51" t="s">
        <v>13</v>
      </c>
      <c r="F51" s="1">
        <v>45778</v>
      </c>
      <c r="G51" s="1">
        <v>45792</v>
      </c>
      <c r="H51" t="s">
        <v>14</v>
      </c>
      <c r="I51">
        <v>250</v>
      </c>
    </row>
    <row r="52" spans="1:9" x14ac:dyDescent="0.3">
      <c r="A52" t="s">
        <v>35</v>
      </c>
      <c r="B52" t="s">
        <v>19</v>
      </c>
      <c r="C52" s="1">
        <v>45413</v>
      </c>
      <c r="D52">
        <v>51</v>
      </c>
      <c r="E52" t="s">
        <v>16</v>
      </c>
      <c r="F52" s="1">
        <v>45779</v>
      </c>
      <c r="G52" s="1">
        <v>45789</v>
      </c>
      <c r="H52" t="s">
        <v>14</v>
      </c>
      <c r="I52">
        <v>0</v>
      </c>
    </row>
    <row r="53" spans="1:9" x14ac:dyDescent="0.3">
      <c r="A53" t="s">
        <v>35</v>
      </c>
      <c r="B53" t="s">
        <v>19</v>
      </c>
      <c r="C53" s="1">
        <v>45413</v>
      </c>
      <c r="D53">
        <v>52</v>
      </c>
      <c r="E53" t="s">
        <v>13</v>
      </c>
      <c r="F53" s="1">
        <v>45780</v>
      </c>
      <c r="G53" s="1">
        <v>45795</v>
      </c>
      <c r="H53" t="s">
        <v>14</v>
      </c>
      <c r="I53">
        <v>250</v>
      </c>
    </row>
    <row r="54" spans="1:9" x14ac:dyDescent="0.3">
      <c r="A54" t="s">
        <v>35</v>
      </c>
      <c r="B54" t="s">
        <v>19</v>
      </c>
      <c r="C54" s="1">
        <v>45413</v>
      </c>
      <c r="D54">
        <v>53</v>
      </c>
      <c r="E54" t="s">
        <v>13</v>
      </c>
      <c r="F54" s="1">
        <v>45781</v>
      </c>
      <c r="G54" s="1">
        <v>45796</v>
      </c>
      <c r="H54" t="s">
        <v>14</v>
      </c>
      <c r="I54">
        <v>250</v>
      </c>
    </row>
    <row r="55" spans="1:9" x14ac:dyDescent="0.3">
      <c r="A55" t="s">
        <v>35</v>
      </c>
      <c r="B55" t="s">
        <v>19</v>
      </c>
      <c r="C55" s="1">
        <v>45413</v>
      </c>
      <c r="D55">
        <v>54</v>
      </c>
      <c r="E55" t="s">
        <v>16</v>
      </c>
      <c r="F55" s="1">
        <v>45782</v>
      </c>
      <c r="G55" s="1">
        <v>45792</v>
      </c>
      <c r="H55" t="s">
        <v>14</v>
      </c>
      <c r="I55">
        <v>0</v>
      </c>
    </row>
    <row r="56" spans="1:9" x14ac:dyDescent="0.3">
      <c r="A56" t="s">
        <v>35</v>
      </c>
      <c r="B56" t="s">
        <v>19</v>
      </c>
      <c r="C56" s="1">
        <v>45413</v>
      </c>
      <c r="D56">
        <v>55</v>
      </c>
      <c r="E56" t="s">
        <v>13</v>
      </c>
      <c r="F56" s="1">
        <v>45782</v>
      </c>
      <c r="G56" s="1">
        <v>45797</v>
      </c>
      <c r="H56" t="s">
        <v>12</v>
      </c>
      <c r="I56">
        <v>1200</v>
      </c>
    </row>
    <row r="57" spans="1:9" x14ac:dyDescent="0.3">
      <c r="A57" t="s">
        <v>35</v>
      </c>
      <c r="B57" t="s">
        <v>19</v>
      </c>
      <c r="C57" s="1">
        <v>45413</v>
      </c>
      <c r="D57">
        <v>56</v>
      </c>
      <c r="E57" t="s">
        <v>16</v>
      </c>
      <c r="F57" s="1">
        <v>45783</v>
      </c>
      <c r="G57" s="1">
        <v>45793</v>
      </c>
      <c r="H57" t="s">
        <v>14</v>
      </c>
      <c r="I57">
        <v>0</v>
      </c>
    </row>
    <row r="58" spans="1:9" x14ac:dyDescent="0.3">
      <c r="A58" t="s">
        <v>36</v>
      </c>
      <c r="B58" t="s">
        <v>22</v>
      </c>
      <c r="C58" s="1">
        <v>45470</v>
      </c>
      <c r="D58">
        <v>57</v>
      </c>
      <c r="E58" t="s">
        <v>13</v>
      </c>
      <c r="F58" s="1">
        <v>45839</v>
      </c>
      <c r="G58" s="1">
        <v>45853</v>
      </c>
      <c r="H58" t="s">
        <v>14</v>
      </c>
      <c r="I58">
        <v>250</v>
      </c>
    </row>
    <row r="59" spans="1:9" x14ac:dyDescent="0.3">
      <c r="A59" t="s">
        <v>36</v>
      </c>
      <c r="B59" t="s">
        <v>22</v>
      </c>
      <c r="C59" s="1">
        <v>45470</v>
      </c>
      <c r="D59">
        <v>58</v>
      </c>
      <c r="E59" t="s">
        <v>16</v>
      </c>
      <c r="F59" s="1">
        <v>45840</v>
      </c>
      <c r="G59" s="1">
        <v>45854</v>
      </c>
      <c r="H59" t="s">
        <v>12</v>
      </c>
      <c r="I59">
        <v>500</v>
      </c>
    </row>
    <row r="60" spans="1:9" x14ac:dyDescent="0.3">
      <c r="A60" t="s">
        <v>37</v>
      </c>
      <c r="B60" t="s">
        <v>22</v>
      </c>
      <c r="C60" s="1">
        <v>45470</v>
      </c>
      <c r="D60">
        <v>59</v>
      </c>
      <c r="E60" t="s">
        <v>20</v>
      </c>
      <c r="F60" s="1">
        <v>45843</v>
      </c>
      <c r="G60" s="1">
        <v>45879</v>
      </c>
      <c r="H60" t="s">
        <v>14</v>
      </c>
      <c r="I60">
        <v>0</v>
      </c>
    </row>
    <row r="61" spans="1:9" x14ac:dyDescent="0.3">
      <c r="A61" t="s">
        <v>37</v>
      </c>
      <c r="B61" t="s">
        <v>22</v>
      </c>
      <c r="C61" s="1">
        <v>45470</v>
      </c>
      <c r="D61">
        <v>60</v>
      </c>
      <c r="E61" t="s">
        <v>16</v>
      </c>
      <c r="F61" s="1">
        <v>45842</v>
      </c>
      <c r="G61" s="1">
        <v>45856</v>
      </c>
      <c r="H61" t="s">
        <v>12</v>
      </c>
      <c r="I61">
        <v>500</v>
      </c>
    </row>
    <row r="62" spans="1:9" x14ac:dyDescent="0.3">
      <c r="A62" t="s">
        <v>38</v>
      </c>
      <c r="B62" t="s">
        <v>22</v>
      </c>
      <c r="C62" s="1">
        <v>45470</v>
      </c>
      <c r="D62">
        <v>61</v>
      </c>
      <c r="E62" t="s">
        <v>13</v>
      </c>
      <c r="F62" s="1">
        <v>45844</v>
      </c>
      <c r="G62" s="1">
        <v>45858</v>
      </c>
      <c r="H62" t="s">
        <v>14</v>
      </c>
      <c r="I62">
        <v>250</v>
      </c>
    </row>
    <row r="63" spans="1:9" x14ac:dyDescent="0.3">
      <c r="A63" t="s">
        <v>38</v>
      </c>
      <c r="B63" t="s">
        <v>22</v>
      </c>
      <c r="C63" s="1">
        <v>45470</v>
      </c>
      <c r="D63">
        <v>62</v>
      </c>
      <c r="E63" t="s">
        <v>20</v>
      </c>
      <c r="F63" s="1">
        <v>45845</v>
      </c>
      <c r="G63" s="1">
        <v>45881</v>
      </c>
      <c r="H63" t="s">
        <v>14</v>
      </c>
      <c r="I63">
        <v>0</v>
      </c>
    </row>
    <row r="64" spans="1:9" x14ac:dyDescent="0.3">
      <c r="A64" t="s">
        <v>39</v>
      </c>
      <c r="B64" t="s">
        <v>22</v>
      </c>
      <c r="C64" s="1">
        <v>45470</v>
      </c>
      <c r="D64">
        <v>63</v>
      </c>
      <c r="E64" t="s">
        <v>13</v>
      </c>
      <c r="F64" s="1">
        <v>45846</v>
      </c>
      <c r="G64" s="1">
        <v>45860</v>
      </c>
      <c r="H64" t="s">
        <v>14</v>
      </c>
      <c r="I64">
        <v>250</v>
      </c>
    </row>
    <row r="65" spans="1:9" x14ac:dyDescent="0.3">
      <c r="A65" t="s">
        <v>39</v>
      </c>
      <c r="B65" t="s">
        <v>22</v>
      </c>
      <c r="C65" s="1">
        <v>45470</v>
      </c>
      <c r="D65">
        <v>64</v>
      </c>
      <c r="E65" t="s">
        <v>13</v>
      </c>
      <c r="F65" s="1">
        <v>45841</v>
      </c>
      <c r="G65" s="1">
        <v>45855</v>
      </c>
      <c r="H65" t="s">
        <v>12</v>
      </c>
      <c r="I65">
        <v>1400</v>
      </c>
    </row>
    <row r="66" spans="1:9" x14ac:dyDescent="0.3">
      <c r="A66" t="s">
        <v>40</v>
      </c>
      <c r="B66" t="s">
        <v>22</v>
      </c>
      <c r="C66" s="1">
        <v>45480</v>
      </c>
      <c r="D66">
        <v>65</v>
      </c>
      <c r="E66" t="s">
        <v>16</v>
      </c>
      <c r="F66" s="1">
        <v>45848</v>
      </c>
      <c r="G66" s="1">
        <v>45858</v>
      </c>
      <c r="H66" t="s">
        <v>12</v>
      </c>
      <c r="I66">
        <v>500</v>
      </c>
    </row>
    <row r="67" spans="1:9" x14ac:dyDescent="0.3">
      <c r="A67" t="s">
        <v>40</v>
      </c>
      <c r="B67" t="s">
        <v>22</v>
      </c>
      <c r="C67" s="1">
        <v>45480</v>
      </c>
      <c r="D67">
        <v>66</v>
      </c>
      <c r="E67" t="s">
        <v>13</v>
      </c>
      <c r="F67" s="1">
        <v>45849</v>
      </c>
      <c r="G67" s="1">
        <v>45863</v>
      </c>
      <c r="H67" t="s">
        <v>14</v>
      </c>
      <c r="I67">
        <v>250</v>
      </c>
    </row>
    <row r="68" spans="1:9" x14ac:dyDescent="0.3">
      <c r="A68" t="s">
        <v>41</v>
      </c>
      <c r="B68" t="s">
        <v>22</v>
      </c>
      <c r="C68" s="1">
        <v>45480</v>
      </c>
      <c r="D68">
        <v>67</v>
      </c>
      <c r="E68" t="s">
        <v>20</v>
      </c>
      <c r="F68" s="1">
        <v>45850</v>
      </c>
      <c r="G68" s="1">
        <v>45870</v>
      </c>
      <c r="H68" t="s">
        <v>14</v>
      </c>
      <c r="I68">
        <v>0</v>
      </c>
    </row>
    <row r="69" spans="1:9" x14ac:dyDescent="0.3">
      <c r="A69" t="s">
        <v>41</v>
      </c>
      <c r="B69" t="s">
        <v>22</v>
      </c>
      <c r="C69" s="1">
        <v>45480</v>
      </c>
      <c r="D69">
        <v>68</v>
      </c>
      <c r="E69" t="s">
        <v>11</v>
      </c>
      <c r="F69" s="1">
        <v>45851</v>
      </c>
      <c r="G69" s="1">
        <v>45866</v>
      </c>
      <c r="H69" t="s">
        <v>14</v>
      </c>
      <c r="I69">
        <v>0</v>
      </c>
    </row>
    <row r="70" spans="1:9" x14ac:dyDescent="0.3">
      <c r="A70" t="s">
        <v>42</v>
      </c>
      <c r="B70" t="s">
        <v>22</v>
      </c>
      <c r="C70" s="1">
        <v>45480</v>
      </c>
      <c r="D70">
        <v>69</v>
      </c>
      <c r="E70" t="s">
        <v>16</v>
      </c>
      <c r="F70" s="1">
        <v>45852</v>
      </c>
      <c r="G70" s="1">
        <v>45862</v>
      </c>
      <c r="H70" t="s">
        <v>12</v>
      </c>
      <c r="I70">
        <v>500</v>
      </c>
    </row>
    <row r="71" spans="1:9" x14ac:dyDescent="0.3">
      <c r="A71" t="s">
        <v>42</v>
      </c>
      <c r="B71" t="s">
        <v>22</v>
      </c>
      <c r="C71" s="1">
        <v>45480</v>
      </c>
      <c r="D71">
        <v>71</v>
      </c>
      <c r="E71" t="s">
        <v>13</v>
      </c>
      <c r="F71" s="1">
        <v>45853</v>
      </c>
      <c r="G71" s="1">
        <v>45868</v>
      </c>
      <c r="H71" t="s">
        <v>14</v>
      </c>
      <c r="I71">
        <v>250</v>
      </c>
    </row>
    <row r="72" spans="1:9" x14ac:dyDescent="0.3">
      <c r="A72" t="s">
        <v>43</v>
      </c>
      <c r="B72" t="s">
        <v>31</v>
      </c>
      <c r="C72" s="1">
        <v>45486</v>
      </c>
      <c r="D72">
        <v>70</v>
      </c>
      <c r="E72" t="s">
        <v>13</v>
      </c>
      <c r="F72" s="1">
        <v>45853</v>
      </c>
      <c r="G72" s="1">
        <v>45901</v>
      </c>
      <c r="H72" t="s">
        <v>12</v>
      </c>
      <c r="I72">
        <v>1400</v>
      </c>
    </row>
    <row r="73" spans="1:9" x14ac:dyDescent="0.3">
      <c r="A73" t="s">
        <v>44</v>
      </c>
      <c r="B73" t="s">
        <v>31</v>
      </c>
      <c r="C73" s="1">
        <v>45486</v>
      </c>
      <c r="D73">
        <v>72</v>
      </c>
      <c r="E73" t="s">
        <v>16</v>
      </c>
      <c r="F73" s="1">
        <v>45859</v>
      </c>
      <c r="G73" s="1">
        <v>45899</v>
      </c>
      <c r="H73" t="s">
        <v>12</v>
      </c>
      <c r="I73">
        <v>500</v>
      </c>
    </row>
    <row r="74" spans="1:9" x14ac:dyDescent="0.3">
      <c r="A74" t="s">
        <v>45</v>
      </c>
      <c r="B74" t="s">
        <v>31</v>
      </c>
      <c r="C74" s="1">
        <v>45486</v>
      </c>
      <c r="D74">
        <v>73</v>
      </c>
      <c r="E74" t="s">
        <v>20</v>
      </c>
      <c r="F74" s="1">
        <v>45863</v>
      </c>
      <c r="G74" s="1">
        <v>45910</v>
      </c>
      <c r="H74" t="s">
        <v>12</v>
      </c>
      <c r="I74">
        <v>6000</v>
      </c>
    </row>
    <row r="75" spans="1:9" x14ac:dyDescent="0.3">
      <c r="A75" t="s">
        <v>46</v>
      </c>
      <c r="B75" t="s">
        <v>31</v>
      </c>
      <c r="C75" s="1">
        <v>45486</v>
      </c>
      <c r="D75">
        <v>74</v>
      </c>
      <c r="E75" t="s">
        <v>20</v>
      </c>
      <c r="F75" s="1">
        <v>45865</v>
      </c>
      <c r="G75" s="1">
        <v>45914</v>
      </c>
      <c r="H75" t="s">
        <v>12</v>
      </c>
      <c r="I75">
        <v>5800</v>
      </c>
    </row>
    <row r="76" spans="1:9" x14ac:dyDescent="0.3">
      <c r="A76" t="s">
        <v>47</v>
      </c>
      <c r="B76" t="s">
        <v>31</v>
      </c>
      <c r="C76" s="1">
        <v>45486</v>
      </c>
      <c r="D76">
        <v>75</v>
      </c>
      <c r="E76" t="s">
        <v>13</v>
      </c>
      <c r="F76" s="1">
        <v>45854</v>
      </c>
      <c r="G76" s="1">
        <v>45905</v>
      </c>
      <c r="H76" t="s">
        <v>14</v>
      </c>
      <c r="I76">
        <v>250</v>
      </c>
    </row>
    <row r="77" spans="1:9" x14ac:dyDescent="0.3">
      <c r="A77" t="s">
        <v>48</v>
      </c>
      <c r="B77" t="s">
        <v>31</v>
      </c>
      <c r="C77" s="1">
        <v>45486</v>
      </c>
      <c r="D77">
        <v>76</v>
      </c>
      <c r="E77" t="s">
        <v>13</v>
      </c>
      <c r="F77" s="1">
        <v>45855</v>
      </c>
      <c r="G77" s="1">
        <v>45908</v>
      </c>
      <c r="H77" t="s">
        <v>14</v>
      </c>
      <c r="I77">
        <v>250</v>
      </c>
    </row>
    <row r="78" spans="1:9" x14ac:dyDescent="0.3">
      <c r="A78" t="s">
        <v>49</v>
      </c>
      <c r="B78" t="s">
        <v>31</v>
      </c>
      <c r="C78" s="1">
        <v>45486</v>
      </c>
      <c r="D78">
        <v>77</v>
      </c>
      <c r="E78" t="s">
        <v>16</v>
      </c>
      <c r="F78" s="1">
        <v>45858</v>
      </c>
      <c r="G78" s="1">
        <v>45894</v>
      </c>
      <c r="H78" t="s">
        <v>14</v>
      </c>
      <c r="I78">
        <v>0</v>
      </c>
    </row>
    <row r="79" spans="1:9" x14ac:dyDescent="0.3">
      <c r="A79" t="s">
        <v>47</v>
      </c>
      <c r="B79" t="s">
        <v>31</v>
      </c>
      <c r="C79" s="1">
        <v>45486</v>
      </c>
      <c r="D79">
        <v>78</v>
      </c>
      <c r="E79" t="s">
        <v>16</v>
      </c>
      <c r="F79" s="1">
        <v>45860</v>
      </c>
      <c r="G79" s="1">
        <v>45899</v>
      </c>
      <c r="H79" t="s">
        <v>14</v>
      </c>
      <c r="I79">
        <v>0</v>
      </c>
    </row>
    <row r="80" spans="1:9" x14ac:dyDescent="0.3">
      <c r="A80" t="s">
        <v>48</v>
      </c>
      <c r="B80" t="s">
        <v>31</v>
      </c>
      <c r="C80" s="1">
        <v>45486</v>
      </c>
      <c r="D80">
        <v>79</v>
      </c>
      <c r="E80" t="s">
        <v>20</v>
      </c>
      <c r="F80" s="1">
        <v>45864</v>
      </c>
      <c r="G80" s="1">
        <v>45912</v>
      </c>
      <c r="H80" t="s">
        <v>14</v>
      </c>
      <c r="I80">
        <v>0</v>
      </c>
    </row>
    <row r="81" spans="1:9" x14ac:dyDescent="0.3">
      <c r="A81" t="s">
        <v>49</v>
      </c>
      <c r="B81" t="s">
        <v>31</v>
      </c>
      <c r="C81" s="1">
        <v>45486</v>
      </c>
      <c r="D81">
        <v>80</v>
      </c>
      <c r="E81" t="s">
        <v>13</v>
      </c>
      <c r="F81" s="1">
        <v>45868</v>
      </c>
      <c r="G81" s="1">
        <v>45915</v>
      </c>
      <c r="H81" t="s">
        <v>14</v>
      </c>
      <c r="I81">
        <v>250</v>
      </c>
    </row>
    <row r="82" spans="1:9" x14ac:dyDescent="0.3">
      <c r="A82" t="s">
        <v>50</v>
      </c>
      <c r="B82" t="s">
        <v>31</v>
      </c>
      <c r="C82" s="1">
        <v>45486</v>
      </c>
      <c r="D82">
        <v>81</v>
      </c>
      <c r="E82" t="s">
        <v>13</v>
      </c>
      <c r="F82" s="1">
        <v>45869</v>
      </c>
      <c r="G82" s="1">
        <v>45918</v>
      </c>
      <c r="H82" t="s">
        <v>14</v>
      </c>
      <c r="I82">
        <v>250</v>
      </c>
    </row>
    <row r="83" spans="1:9" x14ac:dyDescent="0.3">
      <c r="A83" t="s">
        <v>51</v>
      </c>
      <c r="B83" t="s">
        <v>19</v>
      </c>
      <c r="C83" s="1">
        <v>45500</v>
      </c>
      <c r="D83">
        <v>82</v>
      </c>
      <c r="E83" t="s">
        <v>13</v>
      </c>
      <c r="F83" s="1">
        <v>45870</v>
      </c>
      <c r="G83" s="1">
        <v>45884</v>
      </c>
      <c r="H83" t="s">
        <v>14</v>
      </c>
      <c r="I83">
        <v>250</v>
      </c>
    </row>
    <row r="84" spans="1:9" x14ac:dyDescent="0.3">
      <c r="A84" t="s">
        <v>51</v>
      </c>
      <c r="B84" t="s">
        <v>19</v>
      </c>
      <c r="C84" s="1">
        <v>45500</v>
      </c>
      <c r="D84">
        <v>83</v>
      </c>
      <c r="E84" t="s">
        <v>13</v>
      </c>
      <c r="F84" s="1">
        <v>45871</v>
      </c>
      <c r="G84" s="1">
        <v>45887</v>
      </c>
      <c r="H84" t="s">
        <v>14</v>
      </c>
      <c r="I84">
        <v>250</v>
      </c>
    </row>
    <row r="85" spans="1:9" x14ac:dyDescent="0.3">
      <c r="A85" t="s">
        <v>51</v>
      </c>
      <c r="B85" t="s">
        <v>19</v>
      </c>
      <c r="C85" s="1">
        <v>45500</v>
      </c>
      <c r="D85">
        <v>84</v>
      </c>
      <c r="E85" t="s">
        <v>13</v>
      </c>
      <c r="F85" s="1">
        <v>45872</v>
      </c>
      <c r="G85" s="1">
        <v>45888</v>
      </c>
      <c r="H85" t="s">
        <v>12</v>
      </c>
      <c r="I85">
        <v>1100</v>
      </c>
    </row>
    <row r="86" spans="1:9" x14ac:dyDescent="0.3">
      <c r="A86" t="s">
        <v>52</v>
      </c>
      <c r="B86" t="s">
        <v>19</v>
      </c>
      <c r="C86" s="1">
        <v>45500</v>
      </c>
      <c r="D86">
        <v>85</v>
      </c>
      <c r="E86" t="s">
        <v>20</v>
      </c>
      <c r="F86" s="1">
        <v>45874</v>
      </c>
      <c r="G86" s="1">
        <v>45901</v>
      </c>
      <c r="H86" t="s">
        <v>14</v>
      </c>
      <c r="I86">
        <v>0</v>
      </c>
    </row>
    <row r="87" spans="1:9" x14ac:dyDescent="0.3">
      <c r="A87" t="s">
        <v>52</v>
      </c>
      <c r="B87" t="s">
        <v>19</v>
      </c>
      <c r="C87" s="1">
        <v>45500</v>
      </c>
      <c r="D87">
        <v>86</v>
      </c>
      <c r="E87" t="s">
        <v>20</v>
      </c>
      <c r="F87" s="1">
        <v>45875</v>
      </c>
      <c r="G87" s="1">
        <v>45905</v>
      </c>
      <c r="H87" t="s">
        <v>14</v>
      </c>
      <c r="I87">
        <v>0</v>
      </c>
    </row>
    <row r="88" spans="1:9" x14ac:dyDescent="0.3">
      <c r="A88" t="s">
        <v>36</v>
      </c>
      <c r="B88" t="s">
        <v>53</v>
      </c>
      <c r="C88" s="1">
        <v>45566</v>
      </c>
      <c r="D88">
        <v>87</v>
      </c>
      <c r="E88" t="s">
        <v>13</v>
      </c>
      <c r="F88" s="1">
        <v>45931</v>
      </c>
      <c r="G88" s="1">
        <v>45945</v>
      </c>
      <c r="H88" t="s">
        <v>14</v>
      </c>
      <c r="I88">
        <v>250</v>
      </c>
    </row>
    <row r="89" spans="1:9" x14ac:dyDescent="0.3">
      <c r="A89" t="s">
        <v>36</v>
      </c>
      <c r="B89" t="s">
        <v>53</v>
      </c>
      <c r="C89" s="1">
        <v>45566</v>
      </c>
      <c r="D89">
        <v>88</v>
      </c>
      <c r="E89" t="s">
        <v>13</v>
      </c>
      <c r="F89" s="1">
        <v>45933</v>
      </c>
      <c r="G89" s="1">
        <v>45947</v>
      </c>
      <c r="H89" t="s">
        <v>14</v>
      </c>
      <c r="I89">
        <v>250</v>
      </c>
    </row>
    <row r="90" spans="1:9" x14ac:dyDescent="0.3">
      <c r="A90" t="s">
        <v>36</v>
      </c>
      <c r="B90" t="s">
        <v>53</v>
      </c>
      <c r="C90" s="1">
        <v>45566</v>
      </c>
      <c r="D90">
        <v>89</v>
      </c>
      <c r="E90" t="s">
        <v>11</v>
      </c>
      <c r="F90" s="1">
        <v>45950</v>
      </c>
      <c r="G90" s="1">
        <v>45966</v>
      </c>
      <c r="H90" t="s">
        <v>14</v>
      </c>
      <c r="I90">
        <v>0</v>
      </c>
    </row>
    <row r="91" spans="1:9" x14ac:dyDescent="0.3">
      <c r="A91" t="s">
        <v>36</v>
      </c>
      <c r="B91" t="s">
        <v>53</v>
      </c>
      <c r="C91" s="1">
        <v>45566</v>
      </c>
      <c r="D91">
        <v>90</v>
      </c>
      <c r="E91" t="s">
        <v>13</v>
      </c>
      <c r="F91" s="1">
        <v>45937</v>
      </c>
      <c r="G91" s="1">
        <v>45952</v>
      </c>
      <c r="H91" t="s">
        <v>14</v>
      </c>
      <c r="I91">
        <v>250</v>
      </c>
    </row>
    <row r="92" spans="1:9" x14ac:dyDescent="0.3">
      <c r="A92" t="s">
        <v>36</v>
      </c>
      <c r="B92" t="s">
        <v>53</v>
      </c>
      <c r="C92" s="1">
        <v>45566</v>
      </c>
      <c r="D92">
        <v>91</v>
      </c>
      <c r="E92" t="s">
        <v>16</v>
      </c>
      <c r="F92" s="1">
        <v>45940</v>
      </c>
      <c r="G92" s="1">
        <v>45955</v>
      </c>
      <c r="H92" t="s">
        <v>14</v>
      </c>
      <c r="I92">
        <v>0</v>
      </c>
    </row>
    <row r="93" spans="1:9" x14ac:dyDescent="0.3">
      <c r="A93" t="s">
        <v>36</v>
      </c>
      <c r="B93" t="s">
        <v>53</v>
      </c>
      <c r="C93" s="1">
        <v>45566</v>
      </c>
      <c r="D93">
        <v>92</v>
      </c>
      <c r="E93" t="s">
        <v>13</v>
      </c>
      <c r="F93" s="1">
        <v>45934</v>
      </c>
      <c r="G93" s="1">
        <v>45948</v>
      </c>
      <c r="H93" t="s">
        <v>14</v>
      </c>
      <c r="I93">
        <v>250</v>
      </c>
    </row>
    <row r="94" spans="1:9" x14ac:dyDescent="0.3">
      <c r="A94" t="s">
        <v>37</v>
      </c>
      <c r="B94" t="s">
        <v>53</v>
      </c>
      <c r="C94" s="1">
        <v>45566</v>
      </c>
      <c r="D94">
        <v>93</v>
      </c>
      <c r="E94" t="s">
        <v>13</v>
      </c>
      <c r="F94" s="1">
        <v>45936</v>
      </c>
      <c r="G94" s="1">
        <v>45951</v>
      </c>
      <c r="H94" t="s">
        <v>14</v>
      </c>
      <c r="I94">
        <v>250</v>
      </c>
    </row>
    <row r="95" spans="1:9" x14ac:dyDescent="0.3">
      <c r="A95" t="s">
        <v>37</v>
      </c>
      <c r="B95" t="s">
        <v>53</v>
      </c>
      <c r="C95" s="1">
        <v>45566</v>
      </c>
      <c r="D95">
        <v>94</v>
      </c>
      <c r="E95" t="s">
        <v>16</v>
      </c>
      <c r="F95" s="1">
        <v>45941</v>
      </c>
      <c r="G95" s="1">
        <v>45956</v>
      </c>
      <c r="H95" t="s">
        <v>14</v>
      </c>
      <c r="I95">
        <v>0</v>
      </c>
    </row>
    <row r="96" spans="1:9" x14ac:dyDescent="0.3">
      <c r="A96" t="s">
        <v>37</v>
      </c>
      <c r="B96" t="s">
        <v>53</v>
      </c>
      <c r="C96" s="1">
        <v>45566</v>
      </c>
      <c r="D96">
        <v>95</v>
      </c>
      <c r="E96" t="s">
        <v>16</v>
      </c>
      <c r="F96" s="1">
        <v>45942</v>
      </c>
      <c r="G96" s="1">
        <v>45957</v>
      </c>
      <c r="H96" t="s">
        <v>14</v>
      </c>
      <c r="I96">
        <v>0</v>
      </c>
    </row>
    <row r="97" spans="1:9" x14ac:dyDescent="0.3">
      <c r="A97" t="s">
        <v>37</v>
      </c>
      <c r="B97" t="s">
        <v>53</v>
      </c>
      <c r="C97" s="1">
        <v>45566</v>
      </c>
      <c r="D97">
        <v>96</v>
      </c>
      <c r="E97" t="s">
        <v>13</v>
      </c>
      <c r="F97" s="1">
        <v>45932</v>
      </c>
      <c r="G97" s="1">
        <v>45946</v>
      </c>
      <c r="H97" t="s">
        <v>14</v>
      </c>
      <c r="I97">
        <v>250</v>
      </c>
    </row>
    <row r="98" spans="1:9" x14ac:dyDescent="0.3">
      <c r="A98" t="s">
        <v>38</v>
      </c>
      <c r="B98" t="s">
        <v>53</v>
      </c>
      <c r="C98" s="1">
        <v>45566</v>
      </c>
      <c r="D98">
        <v>97</v>
      </c>
      <c r="E98" t="s">
        <v>20</v>
      </c>
      <c r="F98" s="1">
        <v>45945</v>
      </c>
      <c r="G98" s="1">
        <v>45962</v>
      </c>
      <c r="H98" t="s">
        <v>14</v>
      </c>
      <c r="I98">
        <v>0</v>
      </c>
    </row>
    <row r="99" spans="1:9" x14ac:dyDescent="0.3">
      <c r="A99" t="s">
        <v>38</v>
      </c>
      <c r="B99" t="s">
        <v>53</v>
      </c>
      <c r="C99" s="1">
        <v>45566</v>
      </c>
      <c r="D99">
        <v>98</v>
      </c>
      <c r="E99" t="s">
        <v>20</v>
      </c>
      <c r="F99" s="1">
        <v>45946</v>
      </c>
      <c r="G99" s="1">
        <v>45963</v>
      </c>
      <c r="H99" t="s">
        <v>14</v>
      </c>
      <c r="I99">
        <v>0</v>
      </c>
    </row>
    <row r="100" spans="1:9" x14ac:dyDescent="0.3">
      <c r="A100" t="s">
        <v>38</v>
      </c>
      <c r="B100" t="s">
        <v>53</v>
      </c>
      <c r="C100" s="1">
        <v>45566</v>
      </c>
      <c r="D100">
        <v>99</v>
      </c>
      <c r="E100" t="s">
        <v>13</v>
      </c>
      <c r="F100" s="1">
        <v>45935</v>
      </c>
      <c r="G100" s="1">
        <v>45950</v>
      </c>
      <c r="H100" t="s">
        <v>14</v>
      </c>
      <c r="I100">
        <v>250</v>
      </c>
    </row>
    <row r="101" spans="1:9" x14ac:dyDescent="0.3">
      <c r="A101" t="s">
        <v>38</v>
      </c>
      <c r="B101" t="s">
        <v>53</v>
      </c>
      <c r="C101" s="1">
        <v>45566</v>
      </c>
      <c r="D101">
        <v>100</v>
      </c>
      <c r="E101" t="s">
        <v>20</v>
      </c>
      <c r="F101" s="1">
        <v>45947</v>
      </c>
      <c r="G101" s="1">
        <v>45964</v>
      </c>
      <c r="H101" t="s">
        <v>14</v>
      </c>
      <c r="I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3D62A-E63A-4B23-B827-304A21C7C664}">
  <dimension ref="A3:D9"/>
  <sheetViews>
    <sheetView tabSelected="1" workbookViewId="0">
      <selection activeCell="B5" sqref="B5"/>
    </sheetView>
  </sheetViews>
  <sheetFormatPr defaultRowHeight="15.6" x14ac:dyDescent="0.3"/>
  <cols>
    <col min="1" max="1" width="15.59765625" bestFit="1" customWidth="1"/>
    <col min="2" max="2" width="15.3984375" bestFit="1" customWidth="1"/>
    <col min="3" max="3" width="8.19921875" bestFit="1" customWidth="1"/>
    <col min="4" max="4" width="10.5" bestFit="1" customWidth="1"/>
  </cols>
  <sheetData>
    <row r="3" spans="1:4" x14ac:dyDescent="0.3">
      <c r="A3" s="4" t="s">
        <v>54</v>
      </c>
      <c r="B3" s="4" t="s">
        <v>57</v>
      </c>
    </row>
    <row r="4" spans="1:4" x14ac:dyDescent="0.3">
      <c r="A4" s="4" t="s">
        <v>55</v>
      </c>
      <c r="B4" t="s">
        <v>12</v>
      </c>
      <c r="C4" t="s">
        <v>14</v>
      </c>
      <c r="D4" t="s">
        <v>56</v>
      </c>
    </row>
    <row r="5" spans="1:4" x14ac:dyDescent="0.3">
      <c r="A5" s="5" t="s">
        <v>20</v>
      </c>
      <c r="B5" s="6">
        <v>34700</v>
      </c>
      <c r="C5" s="6">
        <v>0</v>
      </c>
      <c r="D5" s="6">
        <v>34700</v>
      </c>
    </row>
    <row r="6" spans="1:4" x14ac:dyDescent="0.3">
      <c r="A6" s="5" t="s">
        <v>11</v>
      </c>
      <c r="B6" s="6">
        <v>1000</v>
      </c>
      <c r="C6" s="6">
        <v>0</v>
      </c>
      <c r="D6" s="6">
        <v>1000</v>
      </c>
    </row>
    <row r="7" spans="1:4" x14ac:dyDescent="0.3">
      <c r="A7" s="5" t="s">
        <v>13</v>
      </c>
      <c r="B7" s="6">
        <v>8800</v>
      </c>
      <c r="C7" s="6">
        <v>9750</v>
      </c>
      <c r="D7" s="6">
        <v>18550</v>
      </c>
    </row>
    <row r="8" spans="1:4" x14ac:dyDescent="0.3">
      <c r="A8" s="5" t="s">
        <v>16</v>
      </c>
      <c r="B8" s="6">
        <v>4000</v>
      </c>
      <c r="C8" s="6">
        <v>0</v>
      </c>
      <c r="D8" s="6">
        <v>4000</v>
      </c>
    </row>
    <row r="9" spans="1:4" x14ac:dyDescent="0.3">
      <c r="A9" s="5" t="s">
        <v>56</v>
      </c>
      <c r="B9" s="6">
        <v>48500</v>
      </c>
      <c r="C9" s="6">
        <v>9750</v>
      </c>
      <c r="D9" s="6">
        <v>58250</v>
      </c>
    </row>
  </sheetData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0E41-6ACF-4185-88C1-2908E2414AEE}">
  <dimension ref="A3:D9"/>
  <sheetViews>
    <sheetView workbookViewId="0">
      <selection activeCell="J21" sqref="J21"/>
    </sheetView>
  </sheetViews>
  <sheetFormatPr defaultRowHeight="15.6" x14ac:dyDescent="0.3"/>
  <cols>
    <col min="1" max="1" width="15.59765625" bestFit="1" customWidth="1"/>
    <col min="2" max="2" width="15.3984375" bestFit="1" customWidth="1"/>
    <col min="3" max="3" width="8.19921875" bestFit="1" customWidth="1"/>
    <col min="4" max="4" width="10.5" bestFit="1" customWidth="1"/>
  </cols>
  <sheetData>
    <row r="3" spans="1:4" x14ac:dyDescent="0.3">
      <c r="A3" s="4" t="s">
        <v>58</v>
      </c>
      <c r="B3" s="4" t="s">
        <v>57</v>
      </c>
    </row>
    <row r="4" spans="1:4" x14ac:dyDescent="0.3">
      <c r="A4" s="4" t="s">
        <v>55</v>
      </c>
      <c r="B4" t="s">
        <v>12</v>
      </c>
      <c r="C4" t="s">
        <v>14</v>
      </c>
      <c r="D4" t="s">
        <v>56</v>
      </c>
    </row>
    <row r="5" spans="1:4" x14ac:dyDescent="0.3">
      <c r="A5" s="5" t="s">
        <v>20</v>
      </c>
      <c r="B5" s="7">
        <v>0.3</v>
      </c>
      <c r="C5" s="7">
        <v>0.7</v>
      </c>
      <c r="D5" s="7">
        <v>1</v>
      </c>
    </row>
    <row r="6" spans="1:4" x14ac:dyDescent="0.3">
      <c r="A6" s="5" t="s">
        <v>11</v>
      </c>
      <c r="B6" s="7">
        <v>0.125</v>
      </c>
      <c r="C6" s="7">
        <v>0.875</v>
      </c>
      <c r="D6" s="7">
        <v>1</v>
      </c>
    </row>
    <row r="7" spans="1:4" x14ac:dyDescent="0.3">
      <c r="A7" s="5" t="s">
        <v>13</v>
      </c>
      <c r="B7" s="7">
        <v>0.15217391304347827</v>
      </c>
      <c r="C7" s="7">
        <v>0.84782608695652173</v>
      </c>
      <c r="D7" s="7">
        <v>1</v>
      </c>
    </row>
    <row r="8" spans="1:4" x14ac:dyDescent="0.3">
      <c r="A8" s="5" t="s">
        <v>16</v>
      </c>
      <c r="B8" s="7">
        <v>0.30769230769230771</v>
      </c>
      <c r="C8" s="7">
        <v>0.69230769230769229</v>
      </c>
      <c r="D8" s="7">
        <v>1</v>
      </c>
    </row>
    <row r="9" spans="1:4" x14ac:dyDescent="0.3">
      <c r="A9" s="5" t="s">
        <v>56</v>
      </c>
      <c r="B9" s="7">
        <v>0.22</v>
      </c>
      <c r="C9" s="7">
        <v>0.78</v>
      </c>
      <c r="D9" s="7">
        <v>1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DF073-DB41-4AB4-87E2-95B0AB658B15}">
  <dimension ref="A3:C4"/>
  <sheetViews>
    <sheetView workbookViewId="0">
      <selection activeCell="D18" sqref="D18"/>
    </sheetView>
  </sheetViews>
  <sheetFormatPr defaultRowHeight="15.6" x14ac:dyDescent="0.3"/>
  <cols>
    <col min="1" max="1" width="28.19921875" bestFit="1" customWidth="1"/>
    <col min="2" max="2" width="17.5" bestFit="1" customWidth="1"/>
    <col min="3" max="3" width="13.59765625" bestFit="1" customWidth="1"/>
  </cols>
  <sheetData>
    <row r="3" spans="1:3" x14ac:dyDescent="0.3">
      <c r="A3" t="s">
        <v>60</v>
      </c>
      <c r="B3" t="s">
        <v>59</v>
      </c>
      <c r="C3" t="s">
        <v>54</v>
      </c>
    </row>
    <row r="4" spans="1:3" x14ac:dyDescent="0.3">
      <c r="A4" s="3">
        <v>33</v>
      </c>
      <c r="B4" s="3">
        <v>5050</v>
      </c>
      <c r="C4" s="6">
        <v>58250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B7F6C-74D1-4BA8-877A-17D4CCA5E09B}">
  <dimension ref="A1:I101"/>
  <sheetViews>
    <sheetView topLeftCell="A2" workbookViewId="0">
      <selection activeCell="B6" sqref="B6"/>
    </sheetView>
  </sheetViews>
  <sheetFormatPr defaultRowHeight="15.6" x14ac:dyDescent="0.3"/>
  <cols>
    <col min="1" max="1" width="15.09765625" customWidth="1"/>
    <col min="2" max="2" width="12.59765625" customWidth="1"/>
    <col min="3" max="3" width="9.09765625" bestFit="1" customWidth="1"/>
    <col min="4" max="4" width="12.796875" customWidth="1"/>
    <col min="5" max="5" width="15.69921875" bestFit="1" customWidth="1"/>
    <col min="6" max="6" width="16.3984375" customWidth="1"/>
    <col min="7" max="7" width="14.19921875" customWidth="1"/>
    <col min="8" max="8" width="9.8984375" customWidth="1"/>
    <col min="9" max="9" width="9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s="1">
        <v>45300</v>
      </c>
      <c r="D2">
        <v>1</v>
      </c>
      <c r="E2" t="s">
        <v>11</v>
      </c>
      <c r="F2" s="1">
        <v>45667</v>
      </c>
      <c r="G2" s="1">
        <v>45672</v>
      </c>
      <c r="H2" t="s">
        <v>12</v>
      </c>
      <c r="I2">
        <v>1000</v>
      </c>
    </row>
    <row r="3" spans="1:9" x14ac:dyDescent="0.3">
      <c r="A3" t="s">
        <v>9</v>
      </c>
      <c r="B3" t="s">
        <v>10</v>
      </c>
      <c r="C3" s="1">
        <v>45300</v>
      </c>
      <c r="D3">
        <v>2</v>
      </c>
      <c r="E3" t="s">
        <v>13</v>
      </c>
      <c r="F3" s="1">
        <v>45668</v>
      </c>
      <c r="G3" s="1">
        <v>45673</v>
      </c>
      <c r="H3" t="s">
        <v>14</v>
      </c>
      <c r="I3">
        <v>250</v>
      </c>
    </row>
    <row r="4" spans="1:9" x14ac:dyDescent="0.3">
      <c r="A4" t="s">
        <v>9</v>
      </c>
      <c r="B4" t="s">
        <v>10</v>
      </c>
      <c r="C4" s="1">
        <v>45300</v>
      </c>
      <c r="D4">
        <v>3</v>
      </c>
      <c r="E4" t="s">
        <v>13</v>
      </c>
      <c r="F4" s="1">
        <v>45669</v>
      </c>
      <c r="G4" s="1">
        <v>45674</v>
      </c>
      <c r="H4" t="s">
        <v>14</v>
      </c>
      <c r="I4">
        <v>250</v>
      </c>
    </row>
    <row r="5" spans="1:9" x14ac:dyDescent="0.3">
      <c r="A5" t="s">
        <v>15</v>
      </c>
      <c r="B5" t="s">
        <v>10</v>
      </c>
      <c r="C5" s="1">
        <v>45300</v>
      </c>
      <c r="D5">
        <v>4</v>
      </c>
      <c r="E5" t="s">
        <v>16</v>
      </c>
      <c r="F5" s="1">
        <v>45670</v>
      </c>
      <c r="G5" s="1">
        <v>45675</v>
      </c>
      <c r="H5" t="s">
        <v>14</v>
      </c>
      <c r="I5">
        <v>0</v>
      </c>
    </row>
    <row r="6" spans="1:9" x14ac:dyDescent="0.3">
      <c r="A6" t="s">
        <v>15</v>
      </c>
      <c r="B6" t="s">
        <v>10</v>
      </c>
      <c r="C6" s="1">
        <v>45300</v>
      </c>
      <c r="D6">
        <v>5</v>
      </c>
      <c r="E6" t="s">
        <v>13</v>
      </c>
      <c r="F6" s="1">
        <v>45671</v>
      </c>
      <c r="G6" s="1">
        <v>45676</v>
      </c>
      <c r="H6" t="s">
        <v>14</v>
      </c>
      <c r="I6">
        <v>250</v>
      </c>
    </row>
    <row r="7" spans="1:9" x14ac:dyDescent="0.3">
      <c r="A7" t="s">
        <v>15</v>
      </c>
      <c r="B7" t="s">
        <v>10</v>
      </c>
      <c r="C7" s="1">
        <v>45300</v>
      </c>
      <c r="D7">
        <v>6</v>
      </c>
      <c r="E7" t="s">
        <v>11</v>
      </c>
      <c r="F7" s="1">
        <v>45672</v>
      </c>
      <c r="G7" s="1">
        <v>45677</v>
      </c>
      <c r="H7" t="s">
        <v>14</v>
      </c>
      <c r="I7">
        <v>0</v>
      </c>
    </row>
    <row r="8" spans="1:9" x14ac:dyDescent="0.3">
      <c r="A8" t="s">
        <v>17</v>
      </c>
      <c r="B8" t="s">
        <v>10</v>
      </c>
      <c r="C8" s="1">
        <v>45300</v>
      </c>
      <c r="D8">
        <v>8</v>
      </c>
      <c r="E8" t="s">
        <v>13</v>
      </c>
      <c r="F8" s="1">
        <v>45673</v>
      </c>
      <c r="G8" s="1">
        <v>45678</v>
      </c>
      <c r="H8" t="s">
        <v>12</v>
      </c>
      <c r="I8">
        <v>1200</v>
      </c>
    </row>
    <row r="9" spans="1:9" x14ac:dyDescent="0.3">
      <c r="A9" t="s">
        <v>17</v>
      </c>
      <c r="B9" t="s">
        <v>10</v>
      </c>
      <c r="C9" s="1">
        <v>45300</v>
      </c>
      <c r="D9">
        <v>10</v>
      </c>
      <c r="E9" t="s">
        <v>16</v>
      </c>
      <c r="F9" s="1">
        <v>45674</v>
      </c>
      <c r="G9" s="1">
        <v>45679</v>
      </c>
      <c r="H9" t="s">
        <v>14</v>
      </c>
      <c r="I9">
        <v>0</v>
      </c>
    </row>
    <row r="10" spans="1:9" x14ac:dyDescent="0.3">
      <c r="A10" t="s">
        <v>18</v>
      </c>
      <c r="B10" t="s">
        <v>19</v>
      </c>
      <c r="C10" s="1">
        <v>45304</v>
      </c>
      <c r="D10">
        <v>7</v>
      </c>
      <c r="E10" t="s">
        <v>16</v>
      </c>
      <c r="F10" s="1">
        <v>45672</v>
      </c>
      <c r="G10" s="1">
        <v>45682</v>
      </c>
      <c r="H10" t="s">
        <v>12</v>
      </c>
      <c r="I10">
        <v>500</v>
      </c>
    </row>
    <row r="11" spans="1:9" x14ac:dyDescent="0.3">
      <c r="A11" t="s">
        <v>18</v>
      </c>
      <c r="B11" t="s">
        <v>19</v>
      </c>
      <c r="C11" s="1">
        <v>45304</v>
      </c>
      <c r="D11">
        <v>9</v>
      </c>
      <c r="E11" t="s">
        <v>20</v>
      </c>
      <c r="F11" s="1">
        <v>45673</v>
      </c>
      <c r="G11" s="1">
        <v>45698</v>
      </c>
      <c r="H11" t="s">
        <v>14</v>
      </c>
      <c r="I11">
        <v>0</v>
      </c>
    </row>
    <row r="12" spans="1:9" x14ac:dyDescent="0.3">
      <c r="A12" t="s">
        <v>18</v>
      </c>
      <c r="B12" t="s">
        <v>19</v>
      </c>
      <c r="C12" s="1">
        <v>45304</v>
      </c>
      <c r="D12">
        <v>11</v>
      </c>
      <c r="E12" t="s">
        <v>13</v>
      </c>
      <c r="F12" s="1">
        <v>45674</v>
      </c>
      <c r="G12" s="1">
        <v>45693</v>
      </c>
      <c r="H12" t="s">
        <v>14</v>
      </c>
      <c r="I12">
        <v>250</v>
      </c>
    </row>
    <row r="13" spans="1:9" x14ac:dyDescent="0.3">
      <c r="A13" t="s">
        <v>18</v>
      </c>
      <c r="B13" t="s">
        <v>19</v>
      </c>
      <c r="C13" s="1">
        <v>45304</v>
      </c>
      <c r="D13">
        <v>12</v>
      </c>
      <c r="E13" t="s">
        <v>16</v>
      </c>
      <c r="F13" s="1">
        <v>45675</v>
      </c>
      <c r="G13" s="1">
        <v>45685</v>
      </c>
      <c r="H13" t="s">
        <v>14</v>
      </c>
      <c r="I13">
        <v>0</v>
      </c>
    </row>
    <row r="14" spans="1:9" x14ac:dyDescent="0.3">
      <c r="A14" t="s">
        <v>18</v>
      </c>
      <c r="B14" t="s">
        <v>19</v>
      </c>
      <c r="C14" s="1">
        <v>45304</v>
      </c>
      <c r="D14">
        <v>13</v>
      </c>
      <c r="E14" t="s">
        <v>20</v>
      </c>
      <c r="F14" s="1">
        <v>45676</v>
      </c>
      <c r="G14" s="1">
        <v>45703</v>
      </c>
      <c r="H14" t="s">
        <v>14</v>
      </c>
      <c r="I14">
        <v>0</v>
      </c>
    </row>
    <row r="15" spans="1:9" x14ac:dyDescent="0.3">
      <c r="A15" t="s">
        <v>18</v>
      </c>
      <c r="B15" t="s">
        <v>19</v>
      </c>
      <c r="C15" s="1">
        <v>45304</v>
      </c>
      <c r="D15">
        <v>14</v>
      </c>
      <c r="E15" t="s">
        <v>13</v>
      </c>
      <c r="F15" s="1">
        <v>45677</v>
      </c>
      <c r="G15" s="1">
        <v>45696</v>
      </c>
      <c r="H15" t="s">
        <v>14</v>
      </c>
      <c r="I15">
        <v>250</v>
      </c>
    </row>
    <row r="16" spans="1:9" x14ac:dyDescent="0.3">
      <c r="A16" t="s">
        <v>21</v>
      </c>
      <c r="B16" t="s">
        <v>22</v>
      </c>
      <c r="C16" s="1">
        <v>45323</v>
      </c>
      <c r="D16">
        <v>15</v>
      </c>
      <c r="E16" t="s">
        <v>13</v>
      </c>
      <c r="F16" s="1">
        <v>45689</v>
      </c>
      <c r="G16" s="1">
        <v>45703</v>
      </c>
      <c r="H16" t="s">
        <v>14</v>
      </c>
      <c r="I16">
        <v>250</v>
      </c>
    </row>
    <row r="17" spans="1:9" x14ac:dyDescent="0.3">
      <c r="A17" t="s">
        <v>23</v>
      </c>
      <c r="B17" t="s">
        <v>22</v>
      </c>
      <c r="C17" s="1">
        <v>45323</v>
      </c>
      <c r="D17">
        <v>16</v>
      </c>
      <c r="E17" t="s">
        <v>13</v>
      </c>
      <c r="F17" s="1">
        <v>45690</v>
      </c>
      <c r="G17" s="1">
        <v>45704</v>
      </c>
      <c r="H17" t="s">
        <v>14</v>
      </c>
      <c r="I17">
        <v>250</v>
      </c>
    </row>
    <row r="18" spans="1:9" x14ac:dyDescent="0.3">
      <c r="A18" t="s">
        <v>24</v>
      </c>
      <c r="B18" t="s">
        <v>22</v>
      </c>
      <c r="C18" s="1">
        <v>45323</v>
      </c>
      <c r="D18">
        <v>17</v>
      </c>
      <c r="E18" t="s">
        <v>13</v>
      </c>
      <c r="F18" s="1">
        <v>45691</v>
      </c>
      <c r="G18" s="1">
        <v>45705</v>
      </c>
      <c r="H18" t="s">
        <v>14</v>
      </c>
      <c r="I18">
        <v>250</v>
      </c>
    </row>
    <row r="19" spans="1:9" x14ac:dyDescent="0.3">
      <c r="A19" t="s">
        <v>25</v>
      </c>
      <c r="B19" t="s">
        <v>22</v>
      </c>
      <c r="C19" s="1">
        <v>45323</v>
      </c>
      <c r="D19">
        <v>18</v>
      </c>
      <c r="E19" t="s">
        <v>13</v>
      </c>
      <c r="F19" s="1">
        <v>45692</v>
      </c>
      <c r="G19" s="1">
        <v>45706</v>
      </c>
      <c r="H19" t="s">
        <v>14</v>
      </c>
      <c r="I19">
        <v>250</v>
      </c>
    </row>
    <row r="20" spans="1:9" x14ac:dyDescent="0.3">
      <c r="A20" t="s">
        <v>21</v>
      </c>
      <c r="B20" t="s">
        <v>22</v>
      </c>
      <c r="C20" s="1">
        <v>45323</v>
      </c>
      <c r="D20">
        <v>19</v>
      </c>
      <c r="E20" t="s">
        <v>20</v>
      </c>
      <c r="F20" s="1">
        <v>45693</v>
      </c>
      <c r="G20" s="1">
        <v>45726</v>
      </c>
      <c r="H20" t="s">
        <v>12</v>
      </c>
      <c r="I20">
        <v>5500</v>
      </c>
    </row>
    <row r="21" spans="1:9" x14ac:dyDescent="0.3">
      <c r="A21" t="s">
        <v>23</v>
      </c>
      <c r="B21" t="s">
        <v>22</v>
      </c>
      <c r="C21" s="1">
        <v>45323</v>
      </c>
      <c r="D21">
        <v>20</v>
      </c>
      <c r="E21" t="s">
        <v>16</v>
      </c>
      <c r="F21" s="1">
        <v>45694</v>
      </c>
      <c r="G21" s="1">
        <v>45708</v>
      </c>
      <c r="H21" t="s">
        <v>14</v>
      </c>
      <c r="I21">
        <v>0</v>
      </c>
    </row>
    <row r="22" spans="1:9" x14ac:dyDescent="0.3">
      <c r="A22" t="s">
        <v>24</v>
      </c>
      <c r="B22" t="s">
        <v>22</v>
      </c>
      <c r="C22" s="1">
        <v>45323</v>
      </c>
      <c r="D22">
        <v>21</v>
      </c>
      <c r="E22" t="s">
        <v>16</v>
      </c>
      <c r="F22" s="1">
        <v>45695</v>
      </c>
      <c r="G22" s="1">
        <v>45709</v>
      </c>
      <c r="H22" t="s">
        <v>12</v>
      </c>
      <c r="I22">
        <v>500</v>
      </c>
    </row>
    <row r="23" spans="1:9" x14ac:dyDescent="0.3">
      <c r="A23" t="s">
        <v>25</v>
      </c>
      <c r="B23" t="s">
        <v>22</v>
      </c>
      <c r="C23" s="1">
        <v>45323</v>
      </c>
      <c r="D23">
        <v>22</v>
      </c>
      <c r="E23" t="s">
        <v>20</v>
      </c>
      <c r="F23" s="1">
        <v>45696</v>
      </c>
      <c r="G23" s="1">
        <v>45731</v>
      </c>
      <c r="H23" t="s">
        <v>12</v>
      </c>
      <c r="I23">
        <v>5700</v>
      </c>
    </row>
    <row r="24" spans="1:9" x14ac:dyDescent="0.3">
      <c r="A24" t="s">
        <v>21</v>
      </c>
      <c r="B24" t="s">
        <v>22</v>
      </c>
      <c r="C24" s="1">
        <v>45323</v>
      </c>
      <c r="D24">
        <v>23</v>
      </c>
      <c r="E24" t="s">
        <v>16</v>
      </c>
      <c r="F24" s="1">
        <v>45697</v>
      </c>
      <c r="G24" s="1">
        <v>45711</v>
      </c>
      <c r="H24" t="s">
        <v>14</v>
      </c>
      <c r="I24">
        <v>0</v>
      </c>
    </row>
    <row r="25" spans="1:9" x14ac:dyDescent="0.3">
      <c r="A25" t="s">
        <v>23</v>
      </c>
      <c r="B25" t="s">
        <v>22</v>
      </c>
      <c r="C25" s="1">
        <v>45323</v>
      </c>
      <c r="D25">
        <v>24</v>
      </c>
      <c r="E25" t="s">
        <v>20</v>
      </c>
      <c r="F25" s="1">
        <v>45698</v>
      </c>
      <c r="G25" s="1">
        <v>45736</v>
      </c>
      <c r="H25" t="s">
        <v>12</v>
      </c>
      <c r="I25">
        <v>5900</v>
      </c>
    </row>
    <row r="26" spans="1:9" x14ac:dyDescent="0.3">
      <c r="A26" t="s">
        <v>24</v>
      </c>
      <c r="B26" t="s">
        <v>22</v>
      </c>
      <c r="C26" s="1">
        <v>45323</v>
      </c>
      <c r="D26">
        <v>25</v>
      </c>
      <c r="E26" t="s">
        <v>16</v>
      </c>
      <c r="F26" s="1">
        <v>45699</v>
      </c>
      <c r="G26" s="1">
        <v>45713</v>
      </c>
      <c r="H26" t="s">
        <v>14</v>
      </c>
      <c r="I26">
        <v>0</v>
      </c>
    </row>
    <row r="27" spans="1:9" x14ac:dyDescent="0.3">
      <c r="A27" t="s">
        <v>26</v>
      </c>
      <c r="B27" t="s">
        <v>27</v>
      </c>
      <c r="C27" s="1">
        <v>45379</v>
      </c>
      <c r="D27">
        <v>26</v>
      </c>
      <c r="E27" t="s">
        <v>11</v>
      </c>
      <c r="F27" s="1">
        <v>45748</v>
      </c>
      <c r="G27" s="1">
        <v>45762</v>
      </c>
      <c r="H27" t="s">
        <v>14</v>
      </c>
      <c r="I27">
        <v>0</v>
      </c>
    </row>
    <row r="28" spans="1:9" x14ac:dyDescent="0.3">
      <c r="A28" t="s">
        <v>26</v>
      </c>
      <c r="B28" t="s">
        <v>27</v>
      </c>
      <c r="C28" s="1">
        <v>45379</v>
      </c>
      <c r="D28">
        <v>27</v>
      </c>
      <c r="E28" t="s">
        <v>13</v>
      </c>
      <c r="F28" s="1">
        <v>45749</v>
      </c>
      <c r="G28" s="1">
        <v>45767</v>
      </c>
      <c r="H28" t="s">
        <v>14</v>
      </c>
      <c r="I28">
        <v>250</v>
      </c>
    </row>
    <row r="29" spans="1:9" x14ac:dyDescent="0.3">
      <c r="A29" t="s">
        <v>26</v>
      </c>
      <c r="B29" t="s">
        <v>27</v>
      </c>
      <c r="C29" s="1">
        <v>45379</v>
      </c>
      <c r="D29">
        <v>28</v>
      </c>
      <c r="E29" t="s">
        <v>13</v>
      </c>
      <c r="F29" s="1">
        <v>45750</v>
      </c>
      <c r="G29" s="1">
        <v>45765</v>
      </c>
      <c r="H29" t="s">
        <v>12</v>
      </c>
      <c r="I29">
        <v>1200</v>
      </c>
    </row>
    <row r="30" spans="1:9" x14ac:dyDescent="0.3">
      <c r="A30" t="s">
        <v>26</v>
      </c>
      <c r="B30" t="s">
        <v>27</v>
      </c>
      <c r="C30" s="1">
        <v>45379</v>
      </c>
      <c r="D30">
        <v>29</v>
      </c>
      <c r="E30" t="s">
        <v>16</v>
      </c>
      <c r="F30" s="1">
        <v>45751</v>
      </c>
      <c r="G30" s="1">
        <v>45763</v>
      </c>
      <c r="H30" t="s">
        <v>14</v>
      </c>
      <c r="I30">
        <v>0</v>
      </c>
    </row>
    <row r="31" spans="1:9" x14ac:dyDescent="0.3">
      <c r="A31" t="s">
        <v>26</v>
      </c>
      <c r="B31" t="s">
        <v>27</v>
      </c>
      <c r="C31" s="1">
        <v>45379</v>
      </c>
      <c r="D31">
        <v>30</v>
      </c>
      <c r="E31" t="s">
        <v>11</v>
      </c>
      <c r="F31" s="1">
        <v>45752</v>
      </c>
      <c r="G31" s="1">
        <v>45767</v>
      </c>
      <c r="H31" t="s">
        <v>14</v>
      </c>
      <c r="I31">
        <v>0</v>
      </c>
    </row>
    <row r="32" spans="1:9" x14ac:dyDescent="0.3">
      <c r="A32" t="s">
        <v>26</v>
      </c>
      <c r="B32" t="s">
        <v>27</v>
      </c>
      <c r="C32" s="1">
        <v>45379</v>
      </c>
      <c r="D32">
        <v>31</v>
      </c>
      <c r="E32" t="s">
        <v>13</v>
      </c>
      <c r="F32" s="1">
        <v>45753</v>
      </c>
      <c r="G32" s="1">
        <v>45769</v>
      </c>
      <c r="H32" t="s">
        <v>14</v>
      </c>
      <c r="I32">
        <v>250</v>
      </c>
    </row>
    <row r="33" spans="1:9" x14ac:dyDescent="0.3">
      <c r="A33" t="s">
        <v>26</v>
      </c>
      <c r="B33" t="s">
        <v>27</v>
      </c>
      <c r="C33" s="1">
        <v>45379</v>
      </c>
      <c r="D33">
        <v>32</v>
      </c>
      <c r="E33" t="s">
        <v>11</v>
      </c>
      <c r="F33" s="1">
        <v>45754</v>
      </c>
      <c r="G33" s="1">
        <v>45772</v>
      </c>
      <c r="H33" t="s">
        <v>14</v>
      </c>
      <c r="I33">
        <v>0</v>
      </c>
    </row>
    <row r="34" spans="1:9" x14ac:dyDescent="0.3">
      <c r="A34" t="s">
        <v>26</v>
      </c>
      <c r="B34" t="s">
        <v>27</v>
      </c>
      <c r="C34" s="1">
        <v>45379</v>
      </c>
      <c r="D34">
        <v>33</v>
      </c>
      <c r="E34" t="s">
        <v>13</v>
      </c>
      <c r="F34" s="1">
        <v>45755</v>
      </c>
      <c r="G34" s="1">
        <v>45775</v>
      </c>
      <c r="H34" t="s">
        <v>14</v>
      </c>
      <c r="I34">
        <v>250</v>
      </c>
    </row>
    <row r="35" spans="1:9" x14ac:dyDescent="0.3">
      <c r="A35" t="s">
        <v>28</v>
      </c>
      <c r="B35" t="s">
        <v>22</v>
      </c>
      <c r="C35" s="1">
        <v>45389</v>
      </c>
      <c r="D35">
        <v>34</v>
      </c>
      <c r="E35" t="s">
        <v>16</v>
      </c>
      <c r="F35" s="1">
        <v>45757</v>
      </c>
      <c r="G35" s="1">
        <v>45767</v>
      </c>
      <c r="H35" t="s">
        <v>14</v>
      </c>
      <c r="I35">
        <v>0</v>
      </c>
    </row>
    <row r="36" spans="1:9" x14ac:dyDescent="0.3">
      <c r="A36" t="s">
        <v>29</v>
      </c>
      <c r="B36" t="s">
        <v>22</v>
      </c>
      <c r="C36" s="1">
        <v>45389</v>
      </c>
      <c r="D36">
        <v>35</v>
      </c>
      <c r="E36" t="s">
        <v>13</v>
      </c>
      <c r="F36" s="1">
        <v>45758</v>
      </c>
      <c r="G36" s="1">
        <v>45772</v>
      </c>
      <c r="H36" t="s">
        <v>14</v>
      </c>
      <c r="I36">
        <v>250</v>
      </c>
    </row>
    <row r="37" spans="1:9" x14ac:dyDescent="0.3">
      <c r="A37" t="s">
        <v>28</v>
      </c>
      <c r="B37" t="s">
        <v>22</v>
      </c>
      <c r="C37" s="1">
        <v>45389</v>
      </c>
      <c r="D37">
        <v>36</v>
      </c>
      <c r="E37" t="s">
        <v>20</v>
      </c>
      <c r="F37" s="1">
        <v>45759</v>
      </c>
      <c r="G37" s="1">
        <v>45782</v>
      </c>
      <c r="H37" t="s">
        <v>12</v>
      </c>
      <c r="I37">
        <v>5800</v>
      </c>
    </row>
    <row r="38" spans="1:9" x14ac:dyDescent="0.3">
      <c r="A38" t="s">
        <v>29</v>
      </c>
      <c r="B38" t="s">
        <v>22</v>
      </c>
      <c r="C38" s="1">
        <v>45389</v>
      </c>
      <c r="D38">
        <v>37</v>
      </c>
      <c r="E38" t="s">
        <v>11</v>
      </c>
      <c r="F38" s="1">
        <v>45760</v>
      </c>
      <c r="G38" s="1">
        <v>45775</v>
      </c>
      <c r="H38" t="s">
        <v>14</v>
      </c>
      <c r="I38">
        <v>0</v>
      </c>
    </row>
    <row r="39" spans="1:9" x14ac:dyDescent="0.3">
      <c r="A39" t="s">
        <v>28</v>
      </c>
      <c r="B39" t="s">
        <v>22</v>
      </c>
      <c r="C39" s="1">
        <v>45389</v>
      </c>
      <c r="D39">
        <v>38</v>
      </c>
      <c r="E39" t="s">
        <v>13</v>
      </c>
      <c r="F39" s="1">
        <v>45762</v>
      </c>
      <c r="G39" s="1">
        <v>45777</v>
      </c>
      <c r="H39" t="s">
        <v>14</v>
      </c>
      <c r="I39">
        <v>250</v>
      </c>
    </row>
    <row r="40" spans="1:9" x14ac:dyDescent="0.3">
      <c r="A40" t="s">
        <v>29</v>
      </c>
      <c r="B40" t="s">
        <v>22</v>
      </c>
      <c r="C40" s="1">
        <v>45389</v>
      </c>
      <c r="D40">
        <v>40</v>
      </c>
      <c r="E40" t="s">
        <v>16</v>
      </c>
      <c r="F40" s="1">
        <v>45761</v>
      </c>
      <c r="G40" s="1">
        <v>45771</v>
      </c>
      <c r="H40" t="s">
        <v>12</v>
      </c>
      <c r="I40">
        <v>500</v>
      </c>
    </row>
    <row r="41" spans="1:9" x14ac:dyDescent="0.3">
      <c r="A41" t="s">
        <v>28</v>
      </c>
      <c r="B41" t="s">
        <v>22</v>
      </c>
      <c r="C41" s="1">
        <v>45389</v>
      </c>
      <c r="D41">
        <v>43</v>
      </c>
      <c r="E41" t="s">
        <v>16</v>
      </c>
      <c r="F41" s="1">
        <v>45765</v>
      </c>
      <c r="G41" s="1">
        <v>45775</v>
      </c>
      <c r="H41" t="s">
        <v>14</v>
      </c>
      <c r="I41">
        <v>0</v>
      </c>
    </row>
    <row r="42" spans="1:9" x14ac:dyDescent="0.3">
      <c r="A42" t="s">
        <v>29</v>
      </c>
      <c r="B42" t="s">
        <v>22</v>
      </c>
      <c r="C42" s="1">
        <v>45389</v>
      </c>
      <c r="D42">
        <v>44</v>
      </c>
      <c r="E42" t="s">
        <v>13</v>
      </c>
      <c r="F42" s="1">
        <v>45766</v>
      </c>
      <c r="G42" s="1">
        <v>45782</v>
      </c>
      <c r="H42" t="s">
        <v>14</v>
      </c>
      <c r="I42">
        <v>250</v>
      </c>
    </row>
    <row r="43" spans="1:9" x14ac:dyDescent="0.3">
      <c r="A43" t="s">
        <v>30</v>
      </c>
      <c r="B43" t="s">
        <v>31</v>
      </c>
      <c r="C43" s="1">
        <v>45395</v>
      </c>
      <c r="D43">
        <v>39</v>
      </c>
      <c r="E43" t="s">
        <v>13</v>
      </c>
      <c r="F43" s="1">
        <v>45762</v>
      </c>
      <c r="G43" s="1">
        <v>45807</v>
      </c>
      <c r="H43" t="s">
        <v>14</v>
      </c>
      <c r="I43">
        <v>250</v>
      </c>
    </row>
    <row r="44" spans="1:9" x14ac:dyDescent="0.3">
      <c r="A44" t="s">
        <v>30</v>
      </c>
      <c r="B44" t="s">
        <v>31</v>
      </c>
      <c r="C44" s="1">
        <v>45395</v>
      </c>
      <c r="D44">
        <v>41</v>
      </c>
      <c r="E44" t="s">
        <v>13</v>
      </c>
      <c r="F44" s="1">
        <v>45763</v>
      </c>
      <c r="G44" s="1">
        <v>45813</v>
      </c>
      <c r="H44" t="s">
        <v>12</v>
      </c>
      <c r="I44">
        <v>1300</v>
      </c>
    </row>
    <row r="45" spans="1:9" x14ac:dyDescent="0.3">
      <c r="A45" t="s">
        <v>32</v>
      </c>
      <c r="B45" t="s">
        <v>31</v>
      </c>
      <c r="C45" s="1">
        <v>45395</v>
      </c>
      <c r="D45">
        <v>42</v>
      </c>
      <c r="E45" t="s">
        <v>13</v>
      </c>
      <c r="F45" s="1">
        <v>45764</v>
      </c>
      <c r="G45" s="1">
        <v>45818</v>
      </c>
      <c r="H45" t="s">
        <v>14</v>
      </c>
      <c r="I45">
        <v>250</v>
      </c>
    </row>
    <row r="46" spans="1:9" x14ac:dyDescent="0.3">
      <c r="A46" t="s">
        <v>32</v>
      </c>
      <c r="B46" t="s">
        <v>31</v>
      </c>
      <c r="C46" s="1">
        <v>45395</v>
      </c>
      <c r="D46">
        <v>45</v>
      </c>
      <c r="E46" t="s">
        <v>20</v>
      </c>
      <c r="F46" s="1">
        <v>45767</v>
      </c>
      <c r="G46" s="1">
        <v>45818</v>
      </c>
      <c r="H46" t="s">
        <v>14</v>
      </c>
      <c r="I46">
        <v>0</v>
      </c>
    </row>
    <row r="47" spans="1:9" x14ac:dyDescent="0.3">
      <c r="A47" t="s">
        <v>33</v>
      </c>
      <c r="B47" t="s">
        <v>31</v>
      </c>
      <c r="C47" s="1">
        <v>45395</v>
      </c>
      <c r="D47">
        <v>46</v>
      </c>
      <c r="E47" t="s">
        <v>13</v>
      </c>
      <c r="F47" s="1">
        <v>45767</v>
      </c>
      <c r="G47" s="1">
        <v>45823</v>
      </c>
      <c r="H47" t="s">
        <v>14</v>
      </c>
      <c r="I47">
        <v>250</v>
      </c>
    </row>
    <row r="48" spans="1:9" x14ac:dyDescent="0.3">
      <c r="A48" t="s">
        <v>33</v>
      </c>
      <c r="B48" t="s">
        <v>31</v>
      </c>
      <c r="C48" s="1">
        <v>45395</v>
      </c>
      <c r="D48">
        <v>47</v>
      </c>
      <c r="E48" t="s">
        <v>16</v>
      </c>
      <c r="F48" s="1">
        <v>45768</v>
      </c>
      <c r="G48" s="1">
        <v>45805</v>
      </c>
      <c r="H48" t="s">
        <v>14</v>
      </c>
      <c r="I48">
        <v>0</v>
      </c>
    </row>
    <row r="49" spans="1:9" x14ac:dyDescent="0.3">
      <c r="A49" t="s">
        <v>34</v>
      </c>
      <c r="B49" t="s">
        <v>31</v>
      </c>
      <c r="C49" s="1">
        <v>45395</v>
      </c>
      <c r="D49">
        <v>48</v>
      </c>
      <c r="E49" t="s">
        <v>20</v>
      </c>
      <c r="F49" s="1">
        <v>45769</v>
      </c>
      <c r="G49" s="1">
        <v>45823</v>
      </c>
      <c r="H49" t="s">
        <v>14</v>
      </c>
      <c r="I49">
        <v>0</v>
      </c>
    </row>
    <row r="50" spans="1:9" x14ac:dyDescent="0.3">
      <c r="A50" t="s">
        <v>34</v>
      </c>
      <c r="B50" t="s">
        <v>31</v>
      </c>
      <c r="C50" s="1">
        <v>45395</v>
      </c>
      <c r="D50">
        <v>49</v>
      </c>
      <c r="E50" t="s">
        <v>20</v>
      </c>
      <c r="F50" s="1">
        <v>45772</v>
      </c>
      <c r="G50" s="1">
        <v>45828</v>
      </c>
      <c r="H50" t="s">
        <v>14</v>
      </c>
      <c r="I50">
        <v>0</v>
      </c>
    </row>
    <row r="51" spans="1:9" x14ac:dyDescent="0.3">
      <c r="A51" t="s">
        <v>35</v>
      </c>
      <c r="B51" t="s">
        <v>19</v>
      </c>
      <c r="C51" s="1">
        <v>45413</v>
      </c>
      <c r="D51">
        <v>50</v>
      </c>
      <c r="E51" t="s">
        <v>13</v>
      </c>
      <c r="F51" s="1">
        <v>45778</v>
      </c>
      <c r="G51" s="1">
        <v>45792</v>
      </c>
      <c r="H51" t="s">
        <v>14</v>
      </c>
      <c r="I51">
        <v>250</v>
      </c>
    </row>
    <row r="52" spans="1:9" x14ac:dyDescent="0.3">
      <c r="A52" t="s">
        <v>35</v>
      </c>
      <c r="B52" t="s">
        <v>19</v>
      </c>
      <c r="C52" s="1">
        <v>45413</v>
      </c>
      <c r="D52">
        <v>51</v>
      </c>
      <c r="E52" t="s">
        <v>16</v>
      </c>
      <c r="F52" s="1">
        <v>45779</v>
      </c>
      <c r="G52" s="1">
        <v>45789</v>
      </c>
      <c r="H52" t="s">
        <v>14</v>
      </c>
      <c r="I52">
        <v>0</v>
      </c>
    </row>
    <row r="53" spans="1:9" x14ac:dyDescent="0.3">
      <c r="A53" t="s">
        <v>35</v>
      </c>
      <c r="B53" t="s">
        <v>19</v>
      </c>
      <c r="C53" s="1">
        <v>45413</v>
      </c>
      <c r="D53">
        <v>52</v>
      </c>
      <c r="E53" t="s">
        <v>13</v>
      </c>
      <c r="F53" s="1">
        <v>45780</v>
      </c>
      <c r="G53" s="1">
        <v>45795</v>
      </c>
      <c r="H53" t="s">
        <v>14</v>
      </c>
      <c r="I53">
        <v>250</v>
      </c>
    </row>
    <row r="54" spans="1:9" x14ac:dyDescent="0.3">
      <c r="A54" t="s">
        <v>35</v>
      </c>
      <c r="B54" t="s">
        <v>19</v>
      </c>
      <c r="C54" s="1">
        <v>45413</v>
      </c>
      <c r="D54">
        <v>53</v>
      </c>
      <c r="E54" t="s">
        <v>13</v>
      </c>
      <c r="F54" s="1">
        <v>45781</v>
      </c>
      <c r="G54" s="1">
        <v>45796</v>
      </c>
      <c r="H54" t="s">
        <v>14</v>
      </c>
      <c r="I54">
        <v>250</v>
      </c>
    </row>
    <row r="55" spans="1:9" x14ac:dyDescent="0.3">
      <c r="A55" t="s">
        <v>35</v>
      </c>
      <c r="B55" t="s">
        <v>19</v>
      </c>
      <c r="C55" s="1">
        <v>45413</v>
      </c>
      <c r="D55">
        <v>54</v>
      </c>
      <c r="E55" t="s">
        <v>16</v>
      </c>
      <c r="F55" s="1">
        <v>45782</v>
      </c>
      <c r="G55" s="1">
        <v>45792</v>
      </c>
      <c r="H55" t="s">
        <v>14</v>
      </c>
      <c r="I55">
        <v>0</v>
      </c>
    </row>
    <row r="56" spans="1:9" x14ac:dyDescent="0.3">
      <c r="A56" t="s">
        <v>35</v>
      </c>
      <c r="B56" t="s">
        <v>19</v>
      </c>
      <c r="C56" s="1">
        <v>45413</v>
      </c>
      <c r="D56">
        <v>55</v>
      </c>
      <c r="E56" t="s">
        <v>13</v>
      </c>
      <c r="F56" s="1">
        <v>45782</v>
      </c>
      <c r="G56" s="1">
        <v>45797</v>
      </c>
      <c r="H56" t="s">
        <v>12</v>
      </c>
      <c r="I56">
        <v>1200</v>
      </c>
    </row>
    <row r="57" spans="1:9" x14ac:dyDescent="0.3">
      <c r="A57" t="s">
        <v>35</v>
      </c>
      <c r="B57" t="s">
        <v>19</v>
      </c>
      <c r="C57" s="1">
        <v>45413</v>
      </c>
      <c r="D57">
        <v>56</v>
      </c>
      <c r="E57" t="s">
        <v>16</v>
      </c>
      <c r="F57" s="1">
        <v>45783</v>
      </c>
      <c r="G57" s="1">
        <v>45793</v>
      </c>
      <c r="H57" t="s">
        <v>14</v>
      </c>
      <c r="I57">
        <v>0</v>
      </c>
    </row>
    <row r="58" spans="1:9" x14ac:dyDescent="0.3">
      <c r="A58" t="s">
        <v>36</v>
      </c>
      <c r="B58" t="s">
        <v>22</v>
      </c>
      <c r="C58" s="1">
        <v>45470</v>
      </c>
      <c r="D58">
        <v>57</v>
      </c>
      <c r="E58" t="s">
        <v>13</v>
      </c>
      <c r="F58" s="1">
        <v>45839</v>
      </c>
      <c r="G58" s="1">
        <v>45853</v>
      </c>
      <c r="H58" t="s">
        <v>14</v>
      </c>
      <c r="I58">
        <v>250</v>
      </c>
    </row>
    <row r="59" spans="1:9" x14ac:dyDescent="0.3">
      <c r="A59" t="s">
        <v>36</v>
      </c>
      <c r="B59" t="s">
        <v>22</v>
      </c>
      <c r="C59" s="1">
        <v>45470</v>
      </c>
      <c r="D59">
        <v>58</v>
      </c>
      <c r="E59" t="s">
        <v>16</v>
      </c>
      <c r="F59" s="1">
        <v>45840</v>
      </c>
      <c r="G59" s="1">
        <v>45854</v>
      </c>
      <c r="H59" t="s">
        <v>12</v>
      </c>
      <c r="I59">
        <v>500</v>
      </c>
    </row>
    <row r="60" spans="1:9" x14ac:dyDescent="0.3">
      <c r="A60" t="s">
        <v>37</v>
      </c>
      <c r="B60" t="s">
        <v>22</v>
      </c>
      <c r="C60" s="1">
        <v>45470</v>
      </c>
      <c r="D60">
        <v>59</v>
      </c>
      <c r="E60" t="s">
        <v>20</v>
      </c>
      <c r="F60" s="1">
        <v>45843</v>
      </c>
      <c r="G60" s="1">
        <v>45879</v>
      </c>
      <c r="H60" t="s">
        <v>14</v>
      </c>
      <c r="I60">
        <v>0</v>
      </c>
    </row>
    <row r="61" spans="1:9" x14ac:dyDescent="0.3">
      <c r="A61" t="s">
        <v>37</v>
      </c>
      <c r="B61" t="s">
        <v>22</v>
      </c>
      <c r="C61" s="1">
        <v>45470</v>
      </c>
      <c r="D61">
        <v>60</v>
      </c>
      <c r="E61" t="s">
        <v>16</v>
      </c>
      <c r="F61" s="1">
        <v>45842</v>
      </c>
      <c r="G61" s="1">
        <v>45856</v>
      </c>
      <c r="H61" t="s">
        <v>12</v>
      </c>
      <c r="I61">
        <v>500</v>
      </c>
    </row>
    <row r="62" spans="1:9" x14ac:dyDescent="0.3">
      <c r="A62" t="s">
        <v>38</v>
      </c>
      <c r="B62" t="s">
        <v>22</v>
      </c>
      <c r="C62" s="1">
        <v>45470</v>
      </c>
      <c r="D62">
        <v>61</v>
      </c>
      <c r="E62" t="s">
        <v>13</v>
      </c>
      <c r="F62" s="1">
        <v>45844</v>
      </c>
      <c r="G62" s="1">
        <v>45858</v>
      </c>
      <c r="H62" t="s">
        <v>14</v>
      </c>
      <c r="I62">
        <v>250</v>
      </c>
    </row>
    <row r="63" spans="1:9" x14ac:dyDescent="0.3">
      <c r="A63" t="s">
        <v>38</v>
      </c>
      <c r="B63" t="s">
        <v>22</v>
      </c>
      <c r="C63" s="1">
        <v>45470</v>
      </c>
      <c r="D63">
        <v>62</v>
      </c>
      <c r="E63" t="s">
        <v>20</v>
      </c>
      <c r="F63" s="1">
        <v>45845</v>
      </c>
      <c r="G63" s="1">
        <v>45881</v>
      </c>
      <c r="H63" t="s">
        <v>14</v>
      </c>
      <c r="I63">
        <v>0</v>
      </c>
    </row>
    <row r="64" spans="1:9" x14ac:dyDescent="0.3">
      <c r="A64" t="s">
        <v>39</v>
      </c>
      <c r="B64" t="s">
        <v>22</v>
      </c>
      <c r="C64" s="1">
        <v>45470</v>
      </c>
      <c r="D64">
        <v>63</v>
      </c>
      <c r="E64" t="s">
        <v>13</v>
      </c>
      <c r="F64" s="1">
        <v>45846</v>
      </c>
      <c r="G64" s="1">
        <v>45860</v>
      </c>
      <c r="H64" t="s">
        <v>14</v>
      </c>
      <c r="I64">
        <v>250</v>
      </c>
    </row>
    <row r="65" spans="1:9" x14ac:dyDescent="0.3">
      <c r="A65" t="s">
        <v>39</v>
      </c>
      <c r="B65" t="s">
        <v>22</v>
      </c>
      <c r="C65" s="1">
        <v>45470</v>
      </c>
      <c r="D65">
        <v>64</v>
      </c>
      <c r="E65" t="s">
        <v>13</v>
      </c>
      <c r="F65" s="1">
        <v>45841</v>
      </c>
      <c r="G65" s="1">
        <v>45855</v>
      </c>
      <c r="H65" t="s">
        <v>12</v>
      </c>
      <c r="I65">
        <v>1400</v>
      </c>
    </row>
    <row r="66" spans="1:9" x14ac:dyDescent="0.3">
      <c r="A66" t="s">
        <v>40</v>
      </c>
      <c r="B66" t="s">
        <v>22</v>
      </c>
      <c r="C66" s="1">
        <v>45480</v>
      </c>
      <c r="D66">
        <v>65</v>
      </c>
      <c r="E66" t="s">
        <v>16</v>
      </c>
      <c r="F66" s="1">
        <v>45848</v>
      </c>
      <c r="G66" s="1">
        <v>45858</v>
      </c>
      <c r="H66" t="s">
        <v>12</v>
      </c>
      <c r="I66">
        <v>500</v>
      </c>
    </row>
    <row r="67" spans="1:9" x14ac:dyDescent="0.3">
      <c r="A67" t="s">
        <v>40</v>
      </c>
      <c r="B67" t="s">
        <v>22</v>
      </c>
      <c r="C67" s="1">
        <v>45480</v>
      </c>
      <c r="D67">
        <v>66</v>
      </c>
      <c r="E67" t="s">
        <v>13</v>
      </c>
      <c r="F67" s="1">
        <v>45849</v>
      </c>
      <c r="G67" s="1">
        <v>45863</v>
      </c>
      <c r="H67" t="s">
        <v>14</v>
      </c>
      <c r="I67">
        <v>250</v>
      </c>
    </row>
    <row r="68" spans="1:9" x14ac:dyDescent="0.3">
      <c r="A68" t="s">
        <v>41</v>
      </c>
      <c r="B68" t="s">
        <v>22</v>
      </c>
      <c r="C68" s="1">
        <v>45480</v>
      </c>
      <c r="D68">
        <v>67</v>
      </c>
      <c r="E68" t="s">
        <v>20</v>
      </c>
      <c r="F68" s="1">
        <v>45850</v>
      </c>
      <c r="G68" s="1">
        <v>45870</v>
      </c>
      <c r="H68" t="s">
        <v>14</v>
      </c>
      <c r="I68">
        <v>0</v>
      </c>
    </row>
    <row r="69" spans="1:9" x14ac:dyDescent="0.3">
      <c r="A69" t="s">
        <v>41</v>
      </c>
      <c r="B69" t="s">
        <v>22</v>
      </c>
      <c r="C69" s="1">
        <v>45480</v>
      </c>
      <c r="D69">
        <v>68</v>
      </c>
      <c r="E69" t="s">
        <v>11</v>
      </c>
      <c r="F69" s="1">
        <v>45851</v>
      </c>
      <c r="G69" s="1">
        <v>45866</v>
      </c>
      <c r="H69" t="s">
        <v>14</v>
      </c>
      <c r="I69">
        <v>0</v>
      </c>
    </row>
    <row r="70" spans="1:9" x14ac:dyDescent="0.3">
      <c r="A70" t="s">
        <v>42</v>
      </c>
      <c r="B70" t="s">
        <v>22</v>
      </c>
      <c r="C70" s="1">
        <v>45480</v>
      </c>
      <c r="D70">
        <v>69</v>
      </c>
      <c r="E70" t="s">
        <v>16</v>
      </c>
      <c r="F70" s="1">
        <v>45852</v>
      </c>
      <c r="G70" s="1">
        <v>45862</v>
      </c>
      <c r="H70" t="s">
        <v>12</v>
      </c>
      <c r="I70">
        <v>500</v>
      </c>
    </row>
    <row r="71" spans="1:9" x14ac:dyDescent="0.3">
      <c r="A71" t="s">
        <v>42</v>
      </c>
      <c r="B71" t="s">
        <v>22</v>
      </c>
      <c r="C71" s="1">
        <v>45480</v>
      </c>
      <c r="D71">
        <v>71</v>
      </c>
      <c r="E71" t="s">
        <v>13</v>
      </c>
      <c r="F71" s="1">
        <v>45853</v>
      </c>
      <c r="G71" s="1">
        <v>45868</v>
      </c>
      <c r="H71" t="s">
        <v>14</v>
      </c>
      <c r="I71">
        <v>250</v>
      </c>
    </row>
    <row r="72" spans="1:9" x14ac:dyDescent="0.3">
      <c r="A72" t="s">
        <v>43</v>
      </c>
      <c r="B72" t="s">
        <v>31</v>
      </c>
      <c r="C72" s="1">
        <v>45486</v>
      </c>
      <c r="D72">
        <v>70</v>
      </c>
      <c r="E72" t="s">
        <v>13</v>
      </c>
      <c r="F72" s="1">
        <v>45853</v>
      </c>
      <c r="G72" s="1">
        <v>45901</v>
      </c>
      <c r="H72" t="s">
        <v>12</v>
      </c>
      <c r="I72">
        <v>1400</v>
      </c>
    </row>
    <row r="73" spans="1:9" x14ac:dyDescent="0.3">
      <c r="A73" t="s">
        <v>44</v>
      </c>
      <c r="B73" t="s">
        <v>31</v>
      </c>
      <c r="C73" s="1">
        <v>45486</v>
      </c>
      <c r="D73">
        <v>72</v>
      </c>
      <c r="E73" t="s">
        <v>16</v>
      </c>
      <c r="F73" s="1">
        <v>45859</v>
      </c>
      <c r="G73" s="1">
        <v>45899</v>
      </c>
      <c r="H73" t="s">
        <v>12</v>
      </c>
      <c r="I73">
        <v>500</v>
      </c>
    </row>
    <row r="74" spans="1:9" x14ac:dyDescent="0.3">
      <c r="A74" t="s">
        <v>45</v>
      </c>
      <c r="B74" t="s">
        <v>31</v>
      </c>
      <c r="C74" s="1">
        <v>45486</v>
      </c>
      <c r="D74">
        <v>73</v>
      </c>
      <c r="E74" t="s">
        <v>20</v>
      </c>
      <c r="F74" s="1">
        <v>45863</v>
      </c>
      <c r="G74" s="1">
        <v>45910</v>
      </c>
      <c r="H74" t="s">
        <v>12</v>
      </c>
      <c r="I74">
        <v>6000</v>
      </c>
    </row>
    <row r="75" spans="1:9" x14ac:dyDescent="0.3">
      <c r="A75" t="s">
        <v>46</v>
      </c>
      <c r="B75" t="s">
        <v>31</v>
      </c>
      <c r="C75" s="1">
        <v>45486</v>
      </c>
      <c r="D75">
        <v>74</v>
      </c>
      <c r="E75" t="s">
        <v>20</v>
      </c>
      <c r="F75" s="1">
        <v>45865</v>
      </c>
      <c r="G75" s="1">
        <v>45914</v>
      </c>
      <c r="H75" t="s">
        <v>12</v>
      </c>
      <c r="I75">
        <v>5800</v>
      </c>
    </row>
    <row r="76" spans="1:9" x14ac:dyDescent="0.3">
      <c r="A76" t="s">
        <v>47</v>
      </c>
      <c r="B76" t="s">
        <v>31</v>
      </c>
      <c r="C76" s="1">
        <v>45486</v>
      </c>
      <c r="D76">
        <v>75</v>
      </c>
      <c r="E76" t="s">
        <v>13</v>
      </c>
      <c r="F76" s="1">
        <v>45854</v>
      </c>
      <c r="G76" s="1">
        <v>45905</v>
      </c>
      <c r="H76" t="s">
        <v>14</v>
      </c>
      <c r="I76">
        <v>250</v>
      </c>
    </row>
    <row r="77" spans="1:9" x14ac:dyDescent="0.3">
      <c r="A77" t="s">
        <v>48</v>
      </c>
      <c r="B77" t="s">
        <v>31</v>
      </c>
      <c r="C77" s="1">
        <v>45486</v>
      </c>
      <c r="D77">
        <v>76</v>
      </c>
      <c r="E77" t="s">
        <v>13</v>
      </c>
      <c r="F77" s="1">
        <v>45855</v>
      </c>
      <c r="G77" s="1">
        <v>45908</v>
      </c>
      <c r="H77" t="s">
        <v>14</v>
      </c>
      <c r="I77">
        <v>250</v>
      </c>
    </row>
    <row r="78" spans="1:9" x14ac:dyDescent="0.3">
      <c r="A78" t="s">
        <v>49</v>
      </c>
      <c r="B78" t="s">
        <v>31</v>
      </c>
      <c r="C78" s="1">
        <v>45486</v>
      </c>
      <c r="D78">
        <v>77</v>
      </c>
      <c r="E78" t="s">
        <v>16</v>
      </c>
      <c r="F78" s="1">
        <v>45858</v>
      </c>
      <c r="G78" s="1">
        <v>45894</v>
      </c>
      <c r="H78" t="s">
        <v>14</v>
      </c>
      <c r="I78">
        <v>0</v>
      </c>
    </row>
    <row r="79" spans="1:9" x14ac:dyDescent="0.3">
      <c r="A79" t="s">
        <v>47</v>
      </c>
      <c r="B79" t="s">
        <v>31</v>
      </c>
      <c r="C79" s="1">
        <v>45486</v>
      </c>
      <c r="D79">
        <v>78</v>
      </c>
      <c r="E79" t="s">
        <v>16</v>
      </c>
      <c r="F79" s="1">
        <v>45860</v>
      </c>
      <c r="G79" s="1">
        <v>45899</v>
      </c>
      <c r="H79" t="s">
        <v>14</v>
      </c>
      <c r="I79">
        <v>0</v>
      </c>
    </row>
    <row r="80" spans="1:9" x14ac:dyDescent="0.3">
      <c r="A80" t="s">
        <v>48</v>
      </c>
      <c r="B80" t="s">
        <v>31</v>
      </c>
      <c r="C80" s="1">
        <v>45486</v>
      </c>
      <c r="D80">
        <v>79</v>
      </c>
      <c r="E80" t="s">
        <v>20</v>
      </c>
      <c r="F80" s="1">
        <v>45864</v>
      </c>
      <c r="G80" s="1">
        <v>45912</v>
      </c>
      <c r="H80" t="s">
        <v>14</v>
      </c>
      <c r="I80">
        <v>0</v>
      </c>
    </row>
    <row r="81" spans="1:9" x14ac:dyDescent="0.3">
      <c r="A81" t="s">
        <v>49</v>
      </c>
      <c r="B81" t="s">
        <v>31</v>
      </c>
      <c r="C81" s="1">
        <v>45486</v>
      </c>
      <c r="D81">
        <v>80</v>
      </c>
      <c r="E81" t="s">
        <v>13</v>
      </c>
      <c r="F81" s="1">
        <v>45868</v>
      </c>
      <c r="G81" s="1">
        <v>45915</v>
      </c>
      <c r="H81" t="s">
        <v>14</v>
      </c>
      <c r="I81">
        <v>250</v>
      </c>
    </row>
    <row r="82" spans="1:9" x14ac:dyDescent="0.3">
      <c r="A82" t="s">
        <v>50</v>
      </c>
      <c r="B82" t="s">
        <v>31</v>
      </c>
      <c r="C82" s="1">
        <v>45486</v>
      </c>
      <c r="D82">
        <v>81</v>
      </c>
      <c r="E82" t="s">
        <v>13</v>
      </c>
      <c r="F82" s="1">
        <v>45869</v>
      </c>
      <c r="G82" s="1">
        <v>45918</v>
      </c>
      <c r="H82" t="s">
        <v>14</v>
      </c>
      <c r="I82">
        <v>250</v>
      </c>
    </row>
    <row r="83" spans="1:9" x14ac:dyDescent="0.3">
      <c r="A83" t="s">
        <v>51</v>
      </c>
      <c r="B83" t="s">
        <v>19</v>
      </c>
      <c r="C83" s="1">
        <v>45500</v>
      </c>
      <c r="D83">
        <v>82</v>
      </c>
      <c r="E83" t="s">
        <v>13</v>
      </c>
      <c r="F83" s="1">
        <v>45870</v>
      </c>
      <c r="G83" s="1">
        <v>45884</v>
      </c>
      <c r="H83" t="s">
        <v>14</v>
      </c>
      <c r="I83">
        <v>250</v>
      </c>
    </row>
    <row r="84" spans="1:9" x14ac:dyDescent="0.3">
      <c r="A84" t="s">
        <v>51</v>
      </c>
      <c r="B84" t="s">
        <v>19</v>
      </c>
      <c r="C84" s="1">
        <v>45500</v>
      </c>
      <c r="D84">
        <v>83</v>
      </c>
      <c r="E84" t="s">
        <v>13</v>
      </c>
      <c r="F84" s="1">
        <v>45871</v>
      </c>
      <c r="G84" s="1">
        <v>45887</v>
      </c>
      <c r="H84" t="s">
        <v>14</v>
      </c>
      <c r="I84">
        <v>250</v>
      </c>
    </row>
    <row r="85" spans="1:9" x14ac:dyDescent="0.3">
      <c r="A85" t="s">
        <v>51</v>
      </c>
      <c r="B85" t="s">
        <v>19</v>
      </c>
      <c r="C85" s="1">
        <v>45500</v>
      </c>
      <c r="D85">
        <v>84</v>
      </c>
      <c r="E85" t="s">
        <v>13</v>
      </c>
      <c r="F85" s="1">
        <v>45872</v>
      </c>
      <c r="G85" s="1">
        <v>45888</v>
      </c>
      <c r="H85" t="s">
        <v>12</v>
      </c>
      <c r="I85">
        <v>1100</v>
      </c>
    </row>
    <row r="86" spans="1:9" x14ac:dyDescent="0.3">
      <c r="A86" t="s">
        <v>52</v>
      </c>
      <c r="B86" t="s">
        <v>19</v>
      </c>
      <c r="C86" s="1">
        <v>45500</v>
      </c>
      <c r="D86">
        <v>85</v>
      </c>
      <c r="E86" t="s">
        <v>20</v>
      </c>
      <c r="F86" s="1">
        <v>45874</v>
      </c>
      <c r="G86" s="1">
        <v>45901</v>
      </c>
      <c r="H86" t="s">
        <v>14</v>
      </c>
      <c r="I86">
        <v>0</v>
      </c>
    </row>
    <row r="87" spans="1:9" x14ac:dyDescent="0.3">
      <c r="A87" t="s">
        <v>52</v>
      </c>
      <c r="B87" t="s">
        <v>19</v>
      </c>
      <c r="C87" s="1">
        <v>45500</v>
      </c>
      <c r="D87">
        <v>86</v>
      </c>
      <c r="E87" t="s">
        <v>20</v>
      </c>
      <c r="F87" s="1">
        <v>45875</v>
      </c>
      <c r="G87" s="1">
        <v>45905</v>
      </c>
      <c r="H87" t="s">
        <v>14</v>
      </c>
      <c r="I87">
        <v>0</v>
      </c>
    </row>
    <row r="88" spans="1:9" x14ac:dyDescent="0.3">
      <c r="A88" t="s">
        <v>36</v>
      </c>
      <c r="B88" t="s">
        <v>53</v>
      </c>
      <c r="C88" s="1">
        <v>45566</v>
      </c>
      <c r="D88">
        <v>87</v>
      </c>
      <c r="E88" t="s">
        <v>13</v>
      </c>
      <c r="F88" s="1">
        <v>45931</v>
      </c>
      <c r="G88" s="1">
        <v>45945</v>
      </c>
      <c r="H88" t="s">
        <v>14</v>
      </c>
      <c r="I88">
        <v>250</v>
      </c>
    </row>
    <row r="89" spans="1:9" x14ac:dyDescent="0.3">
      <c r="A89" t="s">
        <v>36</v>
      </c>
      <c r="B89" t="s">
        <v>53</v>
      </c>
      <c r="C89" s="1">
        <v>45566</v>
      </c>
      <c r="D89">
        <v>88</v>
      </c>
      <c r="E89" t="s">
        <v>13</v>
      </c>
      <c r="F89" s="1">
        <v>45933</v>
      </c>
      <c r="G89" s="1">
        <v>45947</v>
      </c>
      <c r="H89" t="s">
        <v>14</v>
      </c>
      <c r="I89">
        <v>250</v>
      </c>
    </row>
    <row r="90" spans="1:9" x14ac:dyDescent="0.3">
      <c r="A90" t="s">
        <v>36</v>
      </c>
      <c r="B90" t="s">
        <v>53</v>
      </c>
      <c r="C90" s="1">
        <v>45566</v>
      </c>
      <c r="D90">
        <v>89</v>
      </c>
      <c r="E90" t="s">
        <v>11</v>
      </c>
      <c r="F90" s="1">
        <v>45950</v>
      </c>
      <c r="G90" s="1">
        <v>45966</v>
      </c>
      <c r="H90" t="s">
        <v>14</v>
      </c>
      <c r="I90">
        <v>0</v>
      </c>
    </row>
    <row r="91" spans="1:9" x14ac:dyDescent="0.3">
      <c r="A91" t="s">
        <v>36</v>
      </c>
      <c r="B91" t="s">
        <v>53</v>
      </c>
      <c r="C91" s="1">
        <v>45566</v>
      </c>
      <c r="D91">
        <v>90</v>
      </c>
      <c r="E91" t="s">
        <v>13</v>
      </c>
      <c r="F91" s="1">
        <v>45937</v>
      </c>
      <c r="G91" s="1">
        <v>45952</v>
      </c>
      <c r="H91" t="s">
        <v>14</v>
      </c>
      <c r="I91">
        <v>250</v>
      </c>
    </row>
    <row r="92" spans="1:9" x14ac:dyDescent="0.3">
      <c r="A92" t="s">
        <v>36</v>
      </c>
      <c r="B92" t="s">
        <v>53</v>
      </c>
      <c r="C92" s="1">
        <v>45566</v>
      </c>
      <c r="D92">
        <v>91</v>
      </c>
      <c r="E92" t="s">
        <v>16</v>
      </c>
      <c r="F92" s="1">
        <v>45940</v>
      </c>
      <c r="G92" s="1">
        <v>45955</v>
      </c>
      <c r="H92" t="s">
        <v>14</v>
      </c>
      <c r="I92">
        <v>0</v>
      </c>
    </row>
    <row r="93" spans="1:9" x14ac:dyDescent="0.3">
      <c r="A93" t="s">
        <v>36</v>
      </c>
      <c r="B93" t="s">
        <v>53</v>
      </c>
      <c r="C93" s="1">
        <v>45566</v>
      </c>
      <c r="D93">
        <v>92</v>
      </c>
      <c r="E93" t="s">
        <v>13</v>
      </c>
      <c r="F93" s="1">
        <v>45934</v>
      </c>
      <c r="G93" s="1">
        <v>45948</v>
      </c>
      <c r="H93" t="s">
        <v>14</v>
      </c>
      <c r="I93">
        <v>250</v>
      </c>
    </row>
    <row r="94" spans="1:9" x14ac:dyDescent="0.3">
      <c r="A94" t="s">
        <v>37</v>
      </c>
      <c r="B94" t="s">
        <v>53</v>
      </c>
      <c r="C94" s="1">
        <v>45566</v>
      </c>
      <c r="D94">
        <v>93</v>
      </c>
      <c r="E94" t="s">
        <v>13</v>
      </c>
      <c r="F94" s="1">
        <v>45936</v>
      </c>
      <c r="G94" s="1">
        <v>45951</v>
      </c>
      <c r="H94" t="s">
        <v>14</v>
      </c>
      <c r="I94">
        <v>250</v>
      </c>
    </row>
    <row r="95" spans="1:9" x14ac:dyDescent="0.3">
      <c r="A95" t="s">
        <v>37</v>
      </c>
      <c r="B95" t="s">
        <v>53</v>
      </c>
      <c r="C95" s="1">
        <v>45566</v>
      </c>
      <c r="D95">
        <v>94</v>
      </c>
      <c r="E95" t="s">
        <v>16</v>
      </c>
      <c r="F95" s="1">
        <v>45941</v>
      </c>
      <c r="G95" s="1">
        <v>45956</v>
      </c>
      <c r="H95" t="s">
        <v>14</v>
      </c>
      <c r="I95">
        <v>0</v>
      </c>
    </row>
    <row r="96" spans="1:9" x14ac:dyDescent="0.3">
      <c r="A96" t="s">
        <v>37</v>
      </c>
      <c r="B96" t="s">
        <v>53</v>
      </c>
      <c r="C96" s="1">
        <v>45566</v>
      </c>
      <c r="D96">
        <v>95</v>
      </c>
      <c r="E96" t="s">
        <v>16</v>
      </c>
      <c r="F96" s="1">
        <v>45942</v>
      </c>
      <c r="G96" s="1">
        <v>45957</v>
      </c>
      <c r="H96" t="s">
        <v>14</v>
      </c>
      <c r="I96">
        <v>0</v>
      </c>
    </row>
    <row r="97" spans="1:9" x14ac:dyDescent="0.3">
      <c r="A97" t="s">
        <v>37</v>
      </c>
      <c r="B97" t="s">
        <v>53</v>
      </c>
      <c r="C97" s="1">
        <v>45566</v>
      </c>
      <c r="D97">
        <v>96</v>
      </c>
      <c r="E97" t="s">
        <v>13</v>
      </c>
      <c r="F97" s="1">
        <v>45932</v>
      </c>
      <c r="G97" s="1">
        <v>45946</v>
      </c>
      <c r="H97" t="s">
        <v>14</v>
      </c>
      <c r="I97">
        <v>250</v>
      </c>
    </row>
    <row r="98" spans="1:9" x14ac:dyDescent="0.3">
      <c r="A98" t="s">
        <v>38</v>
      </c>
      <c r="B98" t="s">
        <v>53</v>
      </c>
      <c r="C98" s="1">
        <v>45566</v>
      </c>
      <c r="D98">
        <v>97</v>
      </c>
      <c r="E98" t="s">
        <v>20</v>
      </c>
      <c r="F98" s="1">
        <v>45945</v>
      </c>
      <c r="G98" s="1">
        <v>45962</v>
      </c>
      <c r="H98" t="s">
        <v>14</v>
      </c>
      <c r="I98">
        <v>0</v>
      </c>
    </row>
    <row r="99" spans="1:9" x14ac:dyDescent="0.3">
      <c r="A99" t="s">
        <v>38</v>
      </c>
      <c r="B99" t="s">
        <v>53</v>
      </c>
      <c r="C99" s="1">
        <v>45566</v>
      </c>
      <c r="D99">
        <v>98</v>
      </c>
      <c r="E99" t="s">
        <v>20</v>
      </c>
      <c r="F99" s="1">
        <v>45946</v>
      </c>
      <c r="G99" s="1">
        <v>45963</v>
      </c>
      <c r="H99" t="s">
        <v>14</v>
      </c>
      <c r="I99">
        <v>0</v>
      </c>
    </row>
    <row r="100" spans="1:9" x14ac:dyDescent="0.3">
      <c r="A100" t="s">
        <v>38</v>
      </c>
      <c r="B100" t="s">
        <v>53</v>
      </c>
      <c r="C100" s="1">
        <v>45566</v>
      </c>
      <c r="D100">
        <v>99</v>
      </c>
      <c r="E100" t="s">
        <v>13</v>
      </c>
      <c r="F100" s="1">
        <v>45935</v>
      </c>
      <c r="G100" s="1">
        <v>45950</v>
      </c>
      <c r="H100" t="s">
        <v>14</v>
      </c>
      <c r="I100">
        <v>250</v>
      </c>
    </row>
    <row r="101" spans="1:9" x14ac:dyDescent="0.3">
      <c r="A101" t="s">
        <v>38</v>
      </c>
      <c r="B101" t="s">
        <v>53</v>
      </c>
      <c r="C101" s="1">
        <v>45566</v>
      </c>
      <c r="D101">
        <v>100</v>
      </c>
      <c r="E101" t="s">
        <v>20</v>
      </c>
      <c r="F101" s="1">
        <v>45947</v>
      </c>
      <c r="G101" s="1">
        <v>45964</v>
      </c>
      <c r="H101" t="s">
        <v>14</v>
      </c>
      <c r="I10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5CAF9-B496-40B7-8A4C-0FC61FC386E6}">
  <dimension ref="C2:AQ9"/>
  <sheetViews>
    <sheetView showGridLines="0" workbookViewId="0">
      <selection activeCell="AU11" sqref="AU11"/>
    </sheetView>
  </sheetViews>
  <sheetFormatPr defaultColWidth="3" defaultRowHeight="15.6" x14ac:dyDescent="0.3"/>
  <sheetData>
    <row r="2" spans="3:43" x14ac:dyDescent="0.3">
      <c r="C2" s="14" t="s">
        <v>64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</row>
    <row r="3" spans="3:43" x14ac:dyDescent="0.3"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</row>
    <row r="4" spans="3:43" ht="15.6" customHeight="1" x14ac:dyDescent="0.3">
      <c r="C4" s="8" t="s">
        <v>61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 t="s">
        <v>62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0" t="s">
        <v>63</v>
      </c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</row>
    <row r="5" spans="3:43" ht="15.6" customHeight="1" x14ac:dyDescent="0.3"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</row>
    <row r="6" spans="3:43" ht="15.6" customHeight="1" x14ac:dyDescent="0.3"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</row>
    <row r="7" spans="3:43" ht="15.6" customHeight="1" x14ac:dyDescent="0.3">
      <c r="C7" s="11">
        <f>GETPIVOTDATA("[Measures].[Distinct Count of Recruitment ID]",Overall!$A$3)</f>
        <v>33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2">
        <f>GETPIVOTDATA("[Measures].[Sum of Applicant ID]",Overall!$A$3)</f>
        <v>5050</v>
      </c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3">
        <f>GETPIVOTDATA("[Measures].[Sum of Cost ($)]",Overall!$A$3)</f>
        <v>58250</v>
      </c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</row>
    <row r="8" spans="3:43" ht="15.6" customHeight="1" x14ac:dyDescent="0.3"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</row>
    <row r="9" spans="3:43" ht="15.6" customHeight="1" x14ac:dyDescent="0.3"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</row>
  </sheetData>
  <mergeCells count="7">
    <mergeCell ref="C2:AQ3"/>
    <mergeCell ref="C7:P9"/>
    <mergeCell ref="Q4:AD6"/>
    <mergeCell ref="Q7:AD9"/>
    <mergeCell ref="AE4:AQ6"/>
    <mergeCell ref="AE7:AQ9"/>
    <mergeCell ref="C4:P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Total Cost</vt:lpstr>
      <vt:lpstr>Rejection Rate</vt:lpstr>
      <vt:lpstr>Overall</vt:lpstr>
      <vt:lpstr>DATA (2)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</dc:creator>
  <cp:lastModifiedBy>Amirah Hasanah Abd Rahman</cp:lastModifiedBy>
  <dcterms:created xsi:type="dcterms:W3CDTF">2026-04-09T14:04:45Z</dcterms:created>
  <dcterms:modified xsi:type="dcterms:W3CDTF">2026-04-30T07:31:30Z</dcterms:modified>
</cp:coreProperties>
</file>